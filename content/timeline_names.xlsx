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docProps/app.xml" ContentType="application/vnd.openxmlformats-officedocument.extended-properties+xml"/>
  <Override PartName="/xl/theme/theme1.xml" ContentType="application/vnd.openxmlformats-officedocument.theme+xml"/>
  <Override PartName="/xl/worksheets/sheet2.xml" ContentType="application/vnd.openxmlformats-officedocument.spreadsheetml.worksheet+xml"/>
  <Override PartName="/docProps/core.xml" ContentType="application/vnd.openxmlformats-package.core-properties+xml"/>
  <Override PartName="/xl/worksheets/sheet10.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sheets/sheet1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names" sheetId="1" state="visible" r:id="rId1"/>
    <sheet name="assessment_groups" sheetId="2" state="visible" r:id="rId2"/>
    <sheet name="survey_groups" sheetId="3" state="visible" r:id="rId3"/>
    <sheet name="unique_groups" sheetId="4" state="visible" r:id="rId4"/>
    <sheet name="daily_groups" sheetId="5" state="visible" r:id="rId5"/>
    <sheet name="buckets" sheetId="6" state="visible" r:id="rId6"/>
    <sheet name="bucket_testing" sheetId="7" state="visible" r:id="rId7"/>
    <sheet name="groups" sheetId="8" state="visible" r:id="rId8"/>
    <sheet name="Copy of survey_groups" sheetId="9" state="visible" r:id="rId9"/>
    <sheet name="Copy of Sheet6" sheetId="10" state="visible" r:id="rId10"/>
    <sheet name="Sessions" sheetId="11" state="visible" r:id="rId11"/>
    <sheet name="Sheet1" sheetId="12" state="visible" r:id="rId12"/>
  </sheets>
  <calcPr/>
  <extLst>
    <ext xmlns:x15="http://schemas.microsoft.com/office/spreadsheetml/2010/11/main" uri="{D0CA8CA8-9F24-4464-BF8E-62219DCF47F9}"/>
  </extLst>
</workbook>
</file>

<file path=xl/sharedStrings.xml><?xml version="1.0" encoding="utf-8"?>
<sst xmlns="http://schemas.openxmlformats.org/spreadsheetml/2006/main" count="489" uniqueCount="489">
  <si>
    <t>task_engine</t>
  </si>
  <si>
    <t>timeline</t>
  </si>
  <si>
    <t>description</t>
  </si>
  <si>
    <t>duration</t>
  </si>
  <si>
    <t>BCS</t>
  </si>
  <si>
    <t>XCIT_BCS_01</t>
  </si>
  <si>
    <t xml:space="preserve">WCST-like, 3 features, 4 ref cards</t>
  </si>
  <si>
    <t>XCIT_BCS_02</t>
  </si>
  <si>
    <t xml:space="preserve">
3 features, 4 ref cards, with cue</t>
  </si>
  <si>
    <t>XCIT_BCS_03</t>
  </si>
  <si>
    <t xml:space="preserve">
2 features, 4 ref cards, with cue</t>
  </si>
  <si>
    <t>BM</t>
  </si>
  <si>
    <t>XCIT_BM_03</t>
  </si>
  <si>
    <t xml:space="preserve">with feedback</t>
  </si>
  <si>
    <t>BSAC</t>
  </si>
  <si>
    <t>XCIT_BSAC_01</t>
  </si>
  <si>
    <t xml:space="preserve">pro-saccade, arrow-cues</t>
  </si>
  <si>
    <t>XCIT_BSAC_02</t>
  </si>
  <si>
    <t xml:space="preserve">anti-saccade, arrow-cues</t>
  </si>
  <si>
    <t>XCIT_BSAC_03</t>
  </si>
  <si>
    <t xml:space="preserve">mix pro and anti-saccade trials (alternate, AABBAA)</t>
  </si>
  <si>
    <t>XCIT_BSAC_04</t>
  </si>
  <si>
    <t xml:space="preserve">pro-saccade, exo-cue</t>
  </si>
  <si>
    <t>XCIT_BSAC_05</t>
  </si>
  <si>
    <t xml:space="preserve">anti-saccade, exo-cue</t>
  </si>
  <si>
    <t>XCIT_BSAC_06</t>
  </si>
  <si>
    <t>XCIT_BSAC_07</t>
  </si>
  <si>
    <t xml:space="preserve">posner 80/20 with neutrals</t>
  </si>
  <si>
    <t>XCIT_BSAC_08</t>
  </si>
  <si>
    <t xml:space="preserve">posner 50/50 with neutrals</t>
  </si>
  <si>
    <t>XCIT_BSAC_09</t>
  </si>
  <si>
    <t xml:space="preserve">distractor suppression</t>
  </si>
  <si>
    <t>DS</t>
  </si>
  <si>
    <t>XCIT_DS_01</t>
  </si>
  <si>
    <t xml:space="preserve">forward digits</t>
  </si>
  <si>
    <t>XCIT_DS_02</t>
  </si>
  <si>
    <t xml:space="preserve">backward digits</t>
  </si>
  <si>
    <t>ML</t>
  </si>
  <si>
    <t>XCIT_ML_01</t>
  </si>
  <si>
    <t xml:space="preserve">“Metacognition”: User-controlled stimulus display duration</t>
  </si>
  <si>
    <t>XCIT_ML_02</t>
  </si>
  <si>
    <t xml:space="preserve">“Visuo-spatial capacity”: Fixed stimulus display time + staircase on number of items.</t>
  </si>
  <si>
    <t>XCIT_ML_03</t>
  </si>
  <si>
    <t xml:space="preserve">“Photographic memory”: Number of items is fixed to a small value and display duration is varied using a staircase</t>
  </si>
  <si>
    <t>MOT</t>
  </si>
  <si>
    <t>XCIT_MOT_01</t>
  </si>
  <si>
    <t xml:space="preserve">yes/no response; staircase on targetCount</t>
  </si>
  <si>
    <t>XCIT_MOT_02</t>
  </si>
  <si>
    <t xml:space="preserve">picktargets response; staircase on targetCount</t>
  </si>
  <si>
    <t>XCIT_MOT_05</t>
  </si>
  <si>
    <t xml:space="preserve">picktargets response; no_movement; staircase on targetCount (short term memory)</t>
  </si>
  <si>
    <t>NB</t>
  </si>
  <si>
    <t>XCIT_NB_01</t>
  </si>
  <si>
    <t xml:space="preserve">1back digits</t>
  </si>
  <si>
    <t>XCIT_NB_02</t>
  </si>
  <si>
    <t xml:space="preserve">2back digits</t>
  </si>
  <si>
    <t>XCIT_NB_03</t>
  </si>
  <si>
    <t xml:space="preserve">3back digits</t>
  </si>
  <si>
    <t>XCIT_NB_05</t>
  </si>
  <si>
    <t xml:space="preserve">2back symbols</t>
  </si>
  <si>
    <t>OC</t>
  </si>
  <si>
    <t>XCIT_OC_01</t>
  </si>
  <si>
    <t xml:space="preserve">Trail making task</t>
  </si>
  <si>
    <t>OOO</t>
  </si>
  <si>
    <t>XCIT_OOO_01</t>
  </si>
  <si>
    <t xml:space="preserve">cambridge-like: staircase difficulty, as fast as you can</t>
  </si>
  <si>
    <t>PC</t>
  </si>
  <si>
    <t>XCIT_PC_01</t>
  </si>
  <si>
    <t xml:space="preserve">staircase discrepancyMagnitude, as fast as you can, single vertex discrepancy
</t>
  </si>
  <si>
    <t>XCIT_PC_02</t>
  </si>
  <si>
    <t xml:space="preserve">mental rotation version (added rotation on right polygon)
</t>
  </si>
  <si>
    <t>RE</t>
  </si>
  <si>
    <t>XCIT_RE_01</t>
  </si>
  <si>
    <t xml:space="preserve">RSVP 1 pattern</t>
  </si>
  <si>
    <t>XCIT_RE_02</t>
  </si>
  <si>
    <t>AX-CPT</t>
  </si>
  <si>
    <t>XCIT_RE_03</t>
  </si>
  <si>
    <t xml:space="preserve">AX-CPT -- with distraction</t>
  </si>
  <si>
    <t>SART</t>
  </si>
  <si>
    <t>XCIT_SART_01</t>
  </si>
  <si>
    <t xml:space="preserve">SART without structure</t>
  </si>
  <si>
    <t>SMC</t>
  </si>
  <si>
    <t>XCIT_SMC_01</t>
  </si>
  <si>
    <t xml:space="preserve">
colors &amp; symbols, both colors &amp; symbols can change</t>
  </si>
  <si>
    <t>XCIT_SMC_02</t>
  </si>
  <si>
    <t xml:space="preserve">colors &amp; symbols, only colors can change
</t>
  </si>
  <si>
    <t>XCIT_SMC_03</t>
  </si>
  <si>
    <t xml:space="preserve">
colors &amp; symbols, only symbols can change</t>
  </si>
  <si>
    <t>XCIT_SMC_04</t>
  </si>
  <si>
    <t xml:space="preserve">colors || symbols, switching between features to look for</t>
  </si>
  <si>
    <t>XCIT_SMC_05</t>
  </si>
  <si>
    <t xml:space="preserve">colors &amp; symbols, both colors &amp; symbols can change; only 1 item on the 5x5 grid</t>
  </si>
  <si>
    <t>XCIT_SMC_06</t>
  </si>
  <si>
    <t xml:space="preserve">mental rotation version: arrows + global panel rotation with transfo. helper</t>
  </si>
  <si>
    <t>XCIT_SMC_07</t>
  </si>
  <si>
    <t xml:space="preserve">mental rotation version: arrows + global panel rotation without transfo. helper</t>
  </si>
  <si>
    <t>SOS</t>
  </si>
  <si>
    <t>XCIT_SOS_01</t>
  </si>
  <si>
    <t xml:space="preserve">staircase on itemCount</t>
  </si>
  <si>
    <t>SRM</t>
  </si>
  <si>
    <t>XCIT_SRM_01</t>
  </si>
  <si>
    <t xml:space="preserve">2-choice RT-equal prob choices</t>
  </si>
  <si>
    <t>XCIT_SRM_02</t>
  </si>
  <si>
    <t xml:space="preserve">2-choice RT-unequal prob choices</t>
  </si>
  <si>
    <t>XCIT_SRM_03</t>
  </si>
  <si>
    <t xml:space="preserve">4-choice RT-equal prob choices</t>
  </si>
  <si>
    <t>XCIT_SRM_04</t>
  </si>
  <si>
    <t xml:space="preserve">4-choice RT-unequal prob choices</t>
  </si>
  <si>
    <t>XCIT_SRM_05</t>
  </si>
  <si>
    <t>SRTT</t>
  </si>
  <si>
    <t>SRT</t>
  </si>
  <si>
    <t>XCIT_SRT_01</t>
  </si>
  <si>
    <t xml:space="preserve">simple RT (1 choice)</t>
  </si>
  <si>
    <t>SS</t>
  </si>
  <si>
    <t>XCIT_SS_01</t>
  </si>
  <si>
    <t>forward</t>
  </si>
  <si>
    <t>XCIT_SS_02</t>
  </si>
  <si>
    <t>backward</t>
  </si>
  <si>
    <t>TH</t>
  </si>
  <si>
    <t>XCIT_TH_01</t>
  </si>
  <si>
    <t xml:space="preserve">2-pointing task, uniform location, uniform time</t>
  </si>
  <si>
    <t>XCIT_TH_02</t>
  </si>
  <si>
    <t xml:space="preserve">4-pointing task, uniform location, uniform time</t>
  </si>
  <si>
    <t>XCIT_TH_03</t>
  </si>
  <si>
    <t xml:space="preserve">02 with constant sequence ABA</t>
  </si>
  <si>
    <t>XCIT_TH_04</t>
  </si>
  <si>
    <t xml:space="preserve">stop-signal task</t>
  </si>
  <si>
    <t>TOVA</t>
  </si>
  <si>
    <t>XCIT_TOVA_01</t>
  </si>
  <si>
    <t xml:space="preserve">minitova; sustained attention + impulsivity</t>
  </si>
  <si>
    <t>UFOV</t>
  </si>
  <si>
    <t>XCIT_UFOV_01</t>
  </si>
  <si>
    <t xml:space="preserve">central task alone</t>
  </si>
  <si>
    <t>XCIT_UFOV_02</t>
  </si>
  <si>
    <t xml:space="preserve">peripheral detection with distractors</t>
  </si>
  <si>
    <t>XCIT_UFOV_03</t>
  </si>
  <si>
    <t xml:space="preserve">central + periphery - distractors</t>
  </si>
  <si>
    <t>XCIT_UFOV_04</t>
  </si>
  <si>
    <t xml:space="preserve">central + periphery + distractors</t>
  </si>
  <si>
    <t>XCIT_UFOV_05</t>
  </si>
  <si>
    <t xml:space="preserve">central + periphery ID + distractors</t>
  </si>
  <si>
    <t>WO</t>
  </si>
  <si>
    <t>XCIT_WO_01</t>
  </si>
  <si>
    <t xml:space="preserve">Flanker Test</t>
  </si>
  <si>
    <t>XCIT_WO_02</t>
  </si>
  <si>
    <t xml:space="preserve">Simon Test</t>
  </si>
  <si>
    <t>XCIT_WO_03</t>
  </si>
  <si>
    <t xml:space="preserve">Bivalent Shape Test</t>
  </si>
  <si>
    <t>instrument_name</t>
  </si>
  <si>
    <t>group</t>
  </si>
  <si>
    <t>BCS_1</t>
  </si>
  <si>
    <t>BM_1</t>
  </si>
  <si>
    <t>BSAC_1</t>
  </si>
  <si>
    <t>BSAC_2</t>
  </si>
  <si>
    <t>BSAC_3</t>
  </si>
  <si>
    <t>BSAC_4</t>
  </si>
  <si>
    <t>DS_1</t>
  </si>
  <si>
    <t>ML_1</t>
  </si>
  <si>
    <t>MOT_1</t>
  </si>
  <si>
    <t>NB_1</t>
  </si>
  <si>
    <t>OC_1</t>
  </si>
  <si>
    <t>OOO_1</t>
  </si>
  <si>
    <t>PC_1</t>
  </si>
  <si>
    <t>RE_1</t>
  </si>
  <si>
    <t>RE_2</t>
  </si>
  <si>
    <t>SART_1</t>
  </si>
  <si>
    <t>SMC_1</t>
  </si>
  <si>
    <t>SMC_2</t>
  </si>
  <si>
    <t>SOS_1</t>
  </si>
  <si>
    <t>SRM_1</t>
  </si>
  <si>
    <t>SRT_1</t>
  </si>
  <si>
    <t>SS_1</t>
  </si>
  <si>
    <t>TH_1</t>
  </si>
  <si>
    <t>TH_2</t>
  </si>
  <si>
    <t>TH_3</t>
  </si>
  <si>
    <t>TOVA_1</t>
  </si>
  <si>
    <t>UFOV_1</t>
  </si>
  <si>
    <t>WO_1</t>
  </si>
  <si>
    <t>WO_2</t>
  </si>
  <si>
    <t>WO_3</t>
  </si>
  <si>
    <t>activity</t>
  </si>
  <si>
    <t>acs</t>
  </si>
  <si>
    <t>x_acs</t>
  </si>
  <si>
    <t xml:space="preserve">Attentional Control Scale</t>
  </si>
  <si>
    <t>adc</t>
  </si>
  <si>
    <t>x_adc</t>
  </si>
  <si>
    <t xml:space="preserve">Adult Dyslexia Checklist</t>
  </si>
  <si>
    <t>aiss</t>
  </si>
  <si>
    <t>x_aiss</t>
  </si>
  <si>
    <t xml:space="preserve">Arnett Inventory of Sensation Seeking (AISS)</t>
  </si>
  <si>
    <t>arces</t>
  </si>
  <si>
    <t>x_arces</t>
  </si>
  <si>
    <t xml:space="preserve">The Attention-Related Cognitive Errors Scale (ARCES)</t>
  </si>
  <si>
    <t>asrs</t>
  </si>
  <si>
    <t>x_asrs-a-i</t>
  </si>
  <si>
    <t xml:space="preserve">Adult ADHD screening (ASRS v1.1)</t>
  </si>
  <si>
    <t>avgp</t>
  </si>
  <si>
    <t>x_avgp</t>
  </si>
  <si>
    <t xml:space="preserve">Action Video Game Questionnaire</t>
  </si>
  <si>
    <t>bfi2</t>
  </si>
  <si>
    <t>x_bfi2</t>
  </si>
  <si>
    <t xml:space="preserve">Big Five Inventory (version 2)</t>
  </si>
  <si>
    <t>bis11</t>
  </si>
  <si>
    <t>x_bis11</t>
  </si>
  <si>
    <t xml:space="preserve">Baratt Impulsiveness Scale (BIS-11)</t>
  </si>
  <si>
    <t>bisbas</t>
  </si>
  <si>
    <t>x_bisbas</t>
  </si>
  <si>
    <t xml:space="preserve">BISBAS questionnaire</t>
  </si>
  <si>
    <t>cfq</t>
  </si>
  <si>
    <t>x_cfq</t>
  </si>
  <si>
    <t xml:space="preserve">Cognitive Failure Questionnaire (CFQ)</t>
  </si>
  <si>
    <t>cfs</t>
  </si>
  <si>
    <t>x_cfs</t>
  </si>
  <si>
    <t xml:space="preserve">Cognitive Flexibility Scale (CFS)</t>
  </si>
  <si>
    <t>ehi-sf</t>
  </si>
  <si>
    <t>x_ehi-sf</t>
  </si>
  <si>
    <t xml:space="preserve">The Edinburgh Handedness Inventory (Short Form)</t>
  </si>
  <si>
    <t>erq</t>
  </si>
  <si>
    <t>x_erq</t>
  </si>
  <si>
    <t xml:space="preserve">Emotion Regulation Questionnaire</t>
  </si>
  <si>
    <t>grit</t>
  </si>
  <si>
    <t>x_grit5</t>
  </si>
  <si>
    <t xml:space="preserve">Grit Scale</t>
  </si>
  <si>
    <t>iam</t>
  </si>
  <si>
    <t>xcit-iam</t>
  </si>
  <si>
    <t xml:space="preserve">Iam scale</t>
  </si>
  <si>
    <t>i-panas-sf</t>
  </si>
  <si>
    <t>x_i-panas-sf</t>
  </si>
  <si>
    <t xml:space="preserve">10-item international Positive and Negative Affect Schedule (PANAS) Short Form (I-PANAS-SF)</t>
  </si>
  <si>
    <t>ipaq-sf</t>
  </si>
  <si>
    <t>x_ipaq-sf</t>
  </si>
  <si>
    <t xml:space="preserve">International Physical Activity
Questionnaire - Short Form</t>
  </si>
  <si>
    <t>maas</t>
  </si>
  <si>
    <t>x_maas</t>
  </si>
  <si>
    <t xml:space="preserve">The Mindful Attention Awareness Scale (MAAS)</t>
  </si>
  <si>
    <t>mfs</t>
  </si>
  <si>
    <t>x_mfs</t>
  </si>
  <si>
    <t xml:space="preserve">Memory Failures Scale (MFS) </t>
  </si>
  <si>
    <t>mindset</t>
  </si>
  <si>
    <t>x_mindset2</t>
  </si>
  <si>
    <t>Mindest</t>
  </si>
  <si>
    <t>mmi</t>
  </si>
  <si>
    <t>xcit-mmi</t>
  </si>
  <si>
    <t xml:space="preserve">Multimedia Inventory</t>
  </si>
  <si>
    <t>mmi-sf</t>
  </si>
  <si>
    <t xml:space="preserve">Multimedia Multitasking Inventory - Short Version</t>
  </si>
  <si>
    <t>mw</t>
  </si>
  <si>
    <t>x_mwds</t>
  </si>
  <si>
    <t xml:space="preserve">Mind Wandering: Deliberate (MW-D) and Mind Wandering: Spontaneous (MW-S) scales.</t>
  </si>
  <si>
    <t>mwq</t>
  </si>
  <si>
    <t>x_mwq</t>
  </si>
  <si>
    <t xml:space="preserve">Mind-Wandering Questionnaire (MWQ)</t>
  </si>
  <si>
    <t>ncs-6</t>
  </si>
  <si>
    <t>x_ncs-6</t>
  </si>
  <si>
    <t xml:space="preserve">Need for Cognition Scale: Six-Item Version (NCS-6)</t>
  </si>
  <si>
    <t>psqi</t>
  </si>
  <si>
    <t xml:space="preserve">Pittsburgh Sleep Quality Index (PSQI)</t>
  </si>
  <si>
    <t>rei</t>
  </si>
  <si>
    <t>x_rei</t>
  </si>
  <si>
    <t xml:space="preserve">Rational Experiential Inventory (REI)</t>
  </si>
  <si>
    <t>sss</t>
  </si>
  <si>
    <t xml:space="preserve">Stanford Sleepiness Scale (SSS)</t>
  </si>
  <si>
    <t>upps-sf</t>
  </si>
  <si>
    <t>x_upps-sf</t>
  </si>
  <si>
    <t xml:space="preserve">Short UPPS-P</t>
  </si>
  <si>
    <t>webexec</t>
  </si>
  <si>
    <t>x_webexec-i</t>
  </si>
  <si>
    <t xml:space="preserve">Problems with executive control (webexec)</t>
  </si>
  <si>
    <t>who5</t>
  </si>
  <si>
    <t>x_who5</t>
  </si>
  <si>
    <t xml:space="preserve">WHO (Five) Well-Being Index (1998 version)</t>
  </si>
  <si>
    <t>xcit-typing</t>
  </si>
  <si>
    <t xml:space="preserve">cognitive assessment through typing</t>
  </si>
  <si>
    <t>comment</t>
  </si>
  <si>
    <t>xcit-background</t>
  </si>
  <si>
    <t xml:space="preserve">xcit-education
xcit-language
xcit-income
xcit-occupation
xcit-ses
xcit-common</t>
  </si>
  <si>
    <t xml:space="preserve">to be completed once at the beginning of the study</t>
  </si>
  <si>
    <t>xcit-study-debrief</t>
  </si>
  <si>
    <t xml:space="preserve">ask people to give feedback about the study in general? goodbye message.</t>
  </si>
  <si>
    <t>TODO</t>
  </si>
  <si>
    <t>xcit-pre</t>
  </si>
  <si>
    <t xml:space="preserve">arousal, etc.</t>
  </si>
  <si>
    <t xml:space="preserve">at the beginning of each daily session</t>
  </si>
  <si>
    <t>xcit-session-debrief</t>
  </si>
  <si>
    <t>xcit-post</t>
  </si>
  <si>
    <t xml:space="preserve">arousal, ..., technical issues</t>
  </si>
  <si>
    <t xml:space="preserve">at the end of each daily session</t>
  </si>
  <si>
    <t>bucket</t>
  </si>
  <si>
    <t>minutes</t>
  </si>
  <si>
    <t>hours</t>
  </si>
  <si>
    <t>activities</t>
  </si>
  <si>
    <t>who5_g62</t>
  </si>
  <si>
    <t>NB_g11</t>
  </si>
  <si>
    <t>mmi_sf_g53</t>
  </si>
  <si>
    <t>SMC_g19</t>
  </si>
  <si>
    <t>TH_g25</t>
  </si>
  <si>
    <t>mindset_g51</t>
  </si>
  <si>
    <t>xcit_typing_g63</t>
  </si>
  <si>
    <t>MOT_g9</t>
  </si>
  <si>
    <t>mfs_g50</t>
  </si>
  <si>
    <t>TH_g26</t>
  </si>
  <si>
    <t>SMC_g18</t>
  </si>
  <si>
    <t>sum</t>
  </si>
  <si>
    <t>TOVA_g27</t>
  </si>
  <si>
    <t>webexec_g61</t>
  </si>
  <si>
    <t>mw_g54</t>
  </si>
  <si>
    <t>ipaq_sf_g48</t>
  </si>
  <si>
    <t>SART_g17</t>
  </si>
  <si>
    <t>PC_g14</t>
  </si>
  <si>
    <t>ncs_6_g56</t>
  </si>
  <si>
    <t>erq_g44</t>
  </si>
  <si>
    <t>bisbas_g40</t>
  </si>
  <si>
    <t>BCS_g1</t>
  </si>
  <si>
    <t>i_panas_sf_g47</t>
  </si>
  <si>
    <t>cfs_g42</t>
  </si>
  <si>
    <t>WO_g29</t>
  </si>
  <si>
    <t>sss_g59</t>
  </si>
  <si>
    <t>RE_g16</t>
  </si>
  <si>
    <t>bfi2_g38</t>
  </si>
  <si>
    <t>aiss_g34</t>
  </si>
  <si>
    <t>DS_g7</t>
  </si>
  <si>
    <t>SRT_g22</t>
  </si>
  <si>
    <t>WO_g31</t>
  </si>
  <si>
    <t>BSAC_g4</t>
  </si>
  <si>
    <t>maas_g49</t>
  </si>
  <si>
    <t>acs_g32</t>
  </si>
  <si>
    <t>BSAC_g3</t>
  </si>
  <si>
    <t>SS_g23</t>
  </si>
  <si>
    <t>bis11_g39</t>
  </si>
  <si>
    <t>arces_g35</t>
  </si>
  <si>
    <t>OC_g12</t>
  </si>
  <si>
    <t>upps_sf_g60</t>
  </si>
  <si>
    <t>BM_g2</t>
  </si>
  <si>
    <t>ehi_sf_g43</t>
  </si>
  <si>
    <t>rei_g58</t>
  </si>
  <si>
    <t>iam_g46</t>
  </si>
  <si>
    <t>BSAC_g6</t>
  </si>
  <si>
    <t>avgp_g37</t>
  </si>
  <si>
    <t>ML_g8</t>
  </si>
  <si>
    <t>cfq_g41</t>
  </si>
  <si>
    <t>mwq_g55</t>
  </si>
  <si>
    <t>WO_g30</t>
  </si>
  <si>
    <t>OOO_g13</t>
  </si>
  <si>
    <t>BSAC_g5</t>
  </si>
  <si>
    <t>MOT_g10</t>
  </si>
  <si>
    <t>grit_g45</t>
  </si>
  <si>
    <t>adc_g33</t>
  </si>
  <si>
    <t>TH_g24</t>
  </si>
  <si>
    <t>SOS_g20</t>
  </si>
  <si>
    <t>psqi_g57</t>
  </si>
  <si>
    <t>UFOV_g28</t>
  </si>
  <si>
    <t>mmi_g52</t>
  </si>
  <si>
    <t>asrs_g36</t>
  </si>
  <si>
    <t>RE_g15</t>
  </si>
  <si>
    <t>SRM_g21</t>
  </si>
  <si>
    <t>Aurélien</t>
  </si>
  <si>
    <t>Brice</t>
  </si>
  <si>
    <t>Pedro</t>
  </si>
  <si>
    <t>Status</t>
  </si>
  <si>
    <t>Notes</t>
  </si>
  <si>
    <t>B1</t>
  </si>
  <si>
    <t>Testing</t>
  </si>
  <si>
    <r>
      <rPr>
        <b/>
        <color theme="1"/>
        <rFont val="Arial"/>
      </rPr>
      <t>NB</t>
    </r>
    <r>
      <rPr>
        <color theme="1"/>
        <rFont val="Arial"/>
      </rPr>
      <t xml:space="preserve">: Cool, but extremely exhausting, too many timelines in a row, I can't keep the concentration required to perform.</t>
    </r>
  </si>
  <si>
    <t>Untested</t>
  </si>
  <si>
    <t>B2</t>
  </si>
  <si>
    <t>Tested</t>
  </si>
  <si>
    <r>
      <rPr>
        <b/>
        <color theme="1"/>
        <rFont val="Arial"/>
      </rPr>
      <t>MOT</t>
    </r>
    <r>
      <rPr>
        <color theme="1"/>
        <rFont val="Arial"/>
      </rPr>
      <t xml:space="preserve">: Long and boring (1 question each trial).
</t>
    </r>
    <r>
      <rPr>
        <b/>
        <color theme="1"/>
        <rFont val="Arial"/>
      </rPr>
      <t>TH</t>
    </r>
    <r>
      <rPr>
        <color theme="1"/>
        <rFont val="Arial"/>
      </rPr>
      <t xml:space="preserve">: Super long and boring.
</t>
    </r>
    <r>
      <rPr>
        <b/>
        <color theme="1"/>
        <rFont val="Arial"/>
      </rPr>
      <t>SMC</t>
    </r>
    <r>
      <rPr>
        <color theme="1"/>
        <rFont val="Arial"/>
      </rPr>
      <t xml:space="preserve">: Cool task, demanding, but sooo many trials.
</t>
    </r>
    <r>
      <rPr>
        <b/>
        <color theme="1"/>
        <rFont val="Arial"/>
      </rPr>
      <t>TOVA</t>
    </r>
    <r>
      <rPr>
        <color theme="1"/>
        <rFont val="Arial"/>
      </rPr>
      <t xml:space="preserve">: Ok.</t>
    </r>
  </si>
  <si>
    <t xml:space="preserve">as expected duration-wise; TOVA instructions coud be improved.</t>
  </si>
  <si>
    <t>B3</t>
  </si>
  <si>
    <t>B4</t>
  </si>
  <si>
    <t xml:space="preserve">as expected.</t>
  </si>
  <si>
    <t>B5</t>
  </si>
  <si>
    <t>B6</t>
  </si>
  <si>
    <t>B7</t>
  </si>
  <si>
    <r>
      <rPr>
        <b/>
        <color theme="1"/>
        <rFont val="Arial"/>
      </rPr>
      <t>BM</t>
    </r>
    <r>
      <rPr>
        <color theme="1"/>
        <rFont val="Arial"/>
      </rPr>
      <t xml:space="preserve">: Awesome, but only 5-10 minutes :'(
</t>
    </r>
    <r>
      <rPr>
        <b/>
        <color theme="1"/>
        <rFont val="Arial"/>
      </rPr>
      <t>BSAC</t>
    </r>
    <r>
      <rPr>
        <color theme="1"/>
        <rFont val="Arial"/>
      </rPr>
      <t xml:space="preserve">: Boring and long.
</t>
    </r>
    <r>
      <rPr>
        <b/>
        <color theme="1"/>
        <rFont val="Arial"/>
      </rPr>
      <t>ML</t>
    </r>
    <r>
      <rPr>
        <color theme="1"/>
        <rFont val="Arial"/>
      </rPr>
      <t xml:space="preserve">: Cool, but long and still repetitive.</t>
    </r>
  </si>
  <si>
    <t>B8</t>
  </si>
  <si>
    <r>
      <rPr>
        <b/>
        <color theme="1"/>
        <rFont val="Arial"/>
      </rPr>
      <t>WO</t>
    </r>
    <r>
      <rPr>
        <color theme="1"/>
        <rFont val="Arial"/>
      </rPr>
      <t xml:space="preserve">: OK, but long.
</t>
    </r>
    <r>
      <rPr>
        <b/>
        <color theme="1"/>
        <rFont val="Arial"/>
      </rPr>
      <t>OOO</t>
    </r>
    <r>
      <rPr>
        <color theme="1"/>
        <rFont val="Arial"/>
      </rPr>
      <t xml:space="preserve">: Awesome, but only 5 minutes :'(
</t>
    </r>
    <r>
      <rPr>
        <b/>
        <color theme="1"/>
        <rFont val="Arial"/>
      </rPr>
      <t>BSAC</t>
    </r>
    <r>
      <rPr>
        <color theme="1"/>
        <rFont val="Arial"/>
      </rPr>
      <t xml:space="preserve">: Boring and long.
</t>
    </r>
    <r>
      <rPr>
        <b/>
        <color theme="1"/>
        <rFont val="Arial"/>
      </rPr>
      <t>MOT</t>
    </r>
    <r>
      <rPr>
        <color theme="1"/>
        <rFont val="Arial"/>
      </rPr>
      <t xml:space="preserve">: The first timeline is cool, but long.
</t>
    </r>
    <r>
      <rPr>
        <b/>
        <color theme="1"/>
        <rFont val="Arial"/>
      </rPr>
      <t>MOT</t>
    </r>
    <r>
      <rPr>
        <color theme="1"/>
        <rFont val="Arial"/>
      </rPr>
      <t xml:space="preserve">: The second timeline is just the right length, but the difficulty is capped at 8, which is not that hard.</t>
    </r>
  </si>
  <si>
    <t>B9</t>
  </si>
  <si>
    <r>
      <rPr>
        <b/>
        <color theme="1"/>
        <rFont val="Arial"/>
      </rPr>
      <t>TH</t>
    </r>
    <r>
      <rPr>
        <color theme="1"/>
        <rFont val="Arial"/>
      </rPr>
      <t xml:space="preserve">: It's not that bad when watching something else on the side (which shouldn't be the case for participants, but heh, we can't control that)
</t>
    </r>
    <r>
      <rPr>
        <b/>
        <color theme="1"/>
        <rFont val="Arial"/>
      </rPr>
      <t>SOS</t>
    </r>
    <r>
      <rPr>
        <color theme="1"/>
        <rFont val="Arial"/>
      </rPr>
      <t xml:space="preserve">: Awesome task, but only 5 minutes :'(
</t>
    </r>
    <r>
      <rPr>
        <b/>
        <color theme="1"/>
        <rFont val="Arial"/>
      </rPr>
      <t>UFOV</t>
    </r>
    <r>
      <rPr>
        <color theme="1"/>
        <rFont val="Arial"/>
      </rPr>
      <t xml:space="preserve">: 300 trials, seems to never finish, and every timeline has just a small change from the previous one (especially the 4th one, which adds only distractors), it's very repetitive and long
</t>
    </r>
    <r>
      <rPr>
        <b/>
        <color theme="1"/>
        <rFont val="Arial"/>
      </rPr>
      <t>UFOV</t>
    </r>
    <r>
      <rPr>
        <color theme="1"/>
        <rFont val="Arial"/>
      </rPr>
      <t xml:space="preserve">: I think we can remove the green check during the test blocks. There's already feedback on the buttons, if they are both green, then we don't need the green check, it's redundant and takes time each trial.</t>
    </r>
  </si>
  <si>
    <t>B10</t>
  </si>
  <si>
    <t xml:space="preserve">I got a flow only in the last SRM timeline. Before that it was a bit long. RE was fine.</t>
  </si>
  <si>
    <t xml:space="preserve">total duration 45 minutes instead of 70. RE practice seems slower than test; SRM stimuli seem green rather than white and there's stuff happening after the end message of each message.</t>
  </si>
  <si>
    <t xml:space="preserve">Protocol:
- Choose a bucket (preferably one that hasn't been tested yet), change its status to "Testing" in your column
- Open a private window, and go to this URL: https://cc.testing.dev.xcit.org/studies/prolific500-debug-single
- Prefix the Prolific participant ID with your initials (e.g. AD_e42ad3d4)
- Choose the bucket in the dropdown list (B1 to B10)
- Click Continue and play the bucket
- After the xcit.org home page redirect, change the status to "Tested", give a quick feedback on your enjoyment level, and add some notes if you noticed bugs, issues, possible improvements, etc.</t>
  </si>
  <si>
    <t>index</t>
  </si>
  <si>
    <t>R1</t>
  </si>
  <si>
    <t>R2</t>
  </si>
  <si>
    <t>R3</t>
  </si>
  <si>
    <t>R4</t>
  </si>
  <si>
    <t>R5</t>
  </si>
  <si>
    <t>before</t>
  </si>
  <si>
    <t>code</t>
  </si>
  <si>
    <t>id</t>
  </si>
  <si>
    <t>title</t>
  </si>
  <si>
    <t>questions</t>
  </si>
  <si>
    <t>messages</t>
  </si>
  <si>
    <t>implemented</t>
  </si>
  <si>
    <t>tested</t>
  </si>
  <si>
    <t>time</t>
  </si>
  <si>
    <t>P500</t>
  </si>
  <si>
    <t>link</t>
  </si>
  <si>
    <t xml:space="preserve">might need intro message</t>
  </si>
  <si>
    <t xml:space="preserve">need to check data is saved properly as we're using the "context" and the "instruction" feature here.</t>
  </si>
  <si>
    <t xml:space="preserve">possibly to be combined with other questionnaires.</t>
  </si>
  <si>
    <t xml:space="preserve">remove message and combine with grit5</t>
  </si>
  <si>
    <t>icar16</t>
  </si>
  <si>
    <t xml:space="preserve">ICAR: International Cognitive Ability Resource (ICAR16)</t>
  </si>
  <si>
    <t xml:space="preserve">Need to include solutions in the data!</t>
  </si>
  <si>
    <t xml:space="preserve">BM validation only?</t>
  </si>
  <si>
    <t xml:space="preserve">intro message to questionnaire is missing</t>
  </si>
  <si>
    <t xml:space="preserve">conditions missing</t>
  </si>
  <si>
    <t xml:space="preserve">need to tool to convert hours/minutes into minutes?</t>
  </si>
  <si>
    <t xml:space="preserve">same instruction/message as cfq; coordinate the two. Somewhat redundant with other questionnaires.</t>
  </si>
  <si>
    <t xml:space="preserve">because it's so short, combine with other agreement survey.</t>
  </si>
  <si>
    <t xml:space="preserve">should be combined with another one because only 2 questoins.</t>
  </si>
  <si>
    <t xml:space="preserve">combine with previous one</t>
  </si>
  <si>
    <t xml:space="preserve">help for reporting hours</t>
  </si>
  <si>
    <t>raven18</t>
  </si>
  <si>
    <t xml:space="preserve">Raven Progressive Matrices (Raven18)</t>
  </si>
  <si>
    <t xml:space="preserve">these trials will last much longer then typical; figures need improvement.</t>
  </si>
  <si>
    <t xml:space="preserve">lables are hard to read/missing in some items.</t>
  </si>
  <si>
    <t xml:space="preserve">message might improvement.</t>
  </si>
  <si>
    <t>xcit-education</t>
  </si>
  <si>
    <t xml:space="preserve">xcit education scale</t>
  </si>
  <si>
    <t>xcit-language</t>
  </si>
  <si>
    <t xml:space="preserve">xcit language questions</t>
  </si>
  <si>
    <t>xcit-income</t>
  </si>
  <si>
    <t xml:space="preserve">xcit income scale</t>
  </si>
  <si>
    <t xml:space="preserve">some of these should be grouped into a bigger questionnarie.</t>
  </si>
  <si>
    <t>xcit-occupation</t>
  </si>
  <si>
    <t xml:space="preserve">xcit occupation scale</t>
  </si>
  <si>
    <t>xcit-ses</t>
  </si>
  <si>
    <t xml:space="preserve">xcit subjective SES</t>
  </si>
  <si>
    <t xml:space="preserve">does not display image!</t>
  </si>
  <si>
    <t>xcit-common</t>
  </si>
  <si>
    <t xml:space="preserve">age, sex, height, ...</t>
  </si>
  <si>
    <t xml:space="preserve">Survey that should be used in all studies</t>
  </si>
  <si>
    <t xml:space="preserve">check key loggin works</t>
  </si>
  <si>
    <t>total</t>
  </si>
  <si>
    <t xml:space="preserve">total time in minutes (4 seconds per question)</t>
  </si>
  <si>
    <t>Bucket0</t>
  </si>
  <si>
    <t>Bucket1</t>
  </si>
  <si>
    <t>Bucket2</t>
  </si>
  <si>
    <t>Bucket3</t>
  </si>
  <si>
    <t>Bucket4</t>
  </si>
  <si>
    <t>Bucket5</t>
  </si>
  <si>
    <t>Bucket6</t>
  </si>
  <si>
    <t>Bucket7</t>
  </si>
  <si>
    <t>Bucket8</t>
  </si>
  <si>
    <t>Bucket9</t>
  </si>
  <si>
    <t>Session_index</t>
  </si>
  <si>
    <t>Day_index</t>
  </si>
  <si>
    <t xml:space="preserve">duration (minutes)</t>
  </si>
  <si>
    <t>wasPiloted</t>
  </si>
  <si>
    <t>reviewedPilot</t>
  </si>
  <si>
    <t>A</t>
  </si>
  <si>
    <t>XCIT_BCS_04</t>
  </si>
  <si>
    <t xml:space="preserve">
2 features, 2 ref cards, with cue</t>
  </si>
  <si>
    <t>XCIT_BCS_05</t>
  </si>
  <si>
    <t xml:space="preserve">
2 features, 2 ref cards, with cue, AABBAA</t>
  </si>
  <si>
    <t>XCIT_BM_01</t>
  </si>
  <si>
    <t xml:space="preserve">raven-like fixed sequence, low time pressure
</t>
  </si>
  <si>
    <t>XCIT_BM_02</t>
  </si>
  <si>
    <t xml:space="preserve">without feedback</t>
  </si>
  <si>
    <t>XCIT_BM_04</t>
  </si>
  <si>
    <t xml:space="preserve">learning and transfer items</t>
  </si>
  <si>
    <t xml:space="preserve">Not sure we should keep it; could be interesting but also takes a long time.</t>
  </si>
  <si>
    <t>B</t>
  </si>
  <si>
    <t xml:space="preserve">XCIT_DS_01
</t>
  </si>
  <si>
    <t xml:space="preserve">Pilot? Data check?</t>
  </si>
  <si>
    <t>XCIT_DS_03</t>
  </si>
  <si>
    <t xml:space="preserve">forward symbols</t>
  </si>
  <si>
    <t>XCIT_DS_04</t>
  </si>
  <si>
    <t xml:space="preserve">backward symbols</t>
  </si>
  <si>
    <t xml:space="preserve">double MOT?</t>
  </si>
  <si>
    <t>XCIT_MOT_03</t>
  </si>
  <si>
    <t xml:space="preserve">picktargets response; staircase on movementDuration (sustained attention)</t>
  </si>
  <si>
    <t>XCIT_MOT_04</t>
  </si>
  <si>
    <t xml:space="preserve">picktargets response; staircase on movementSpeed (processing speed)</t>
  </si>
  <si>
    <t xml:space="preserve">Needs new instructions</t>
  </si>
  <si>
    <t>XCIT_NB_04</t>
  </si>
  <si>
    <t xml:space="preserve">1back symbols</t>
  </si>
  <si>
    <t>XCIT_NB_06</t>
  </si>
  <si>
    <t xml:space="preserve">3back symbols</t>
  </si>
  <si>
    <t xml:space="preserve">I don't understand the data model in csv</t>
  </si>
  <si>
    <t>XCIT_SOS_02</t>
  </si>
  <si>
    <t xml:space="preserve">staircase on trialDuration (fixed itemCount)</t>
  </si>
  <si>
    <t xml:space="preserve">maybe group with TOVA</t>
  </si>
  <si>
    <t xml:space="preserve">to redo; possibly modify</t>
  </si>
  <si>
    <t xml:space="preserve">to redo;</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</si>
</sst>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9">
    <font>
      <sz val="10.000000"/>
      <color indexed="64"/>
      <name val="Arial"/>
      <scheme val="minor"/>
    </font>
    <font>
      <b/>
      <color indexed="65"/>
      <name val="Helvetica Neue"/>
    </font>
    <font>
      <color theme="1"/>
      <name val="Helvetica Neue"/>
    </font>
    <font>
      <sz val="12.000000"/>
      <color theme="1"/>
      <name val="Helvetica Neue"/>
    </font>
    <font>
      <sz val="11.000000"/>
      <color indexed="65"/>
      <name val="Abel"/>
    </font>
    <font>
      <color indexed="65"/>
      <name val="Helvetica Neue"/>
    </font>
    <font>
      <sz val="11.000000"/>
      <color theme="1"/>
      <name val="Abel"/>
    </font>
    <font>
      <color theme="1"/>
      <name val="Arial"/>
      <scheme val="minor"/>
    </font>
    <font>
      <b/>
      <color theme="1"/>
      <name val="Arial"/>
      <scheme val="minor"/>
    </font>
    <font>
      <b/>
      <sz val="11.000000"/>
      <color indexed="65"/>
      <name val="Abel"/>
    </font>
    <font>
      <color indexed="64"/>
      <name val="Roboto"/>
    </font>
    <font>
      <u/>
      <sz val="11.000000"/>
      <color indexed="4"/>
      <name val="Abel"/>
    </font>
    <font>
      <b/>
      <sz val="11.000000"/>
      <color theme="1"/>
      <name val="Abel"/>
    </font>
    <font>
      <color theme="0"/>
      <name val="Arial"/>
      <scheme val="minor"/>
    </font>
    <font>
      <color indexed="65"/>
      <name val="Arial"/>
      <scheme val="minor"/>
    </font>
    <font/>
    <font>
      <b/>
      <color indexed="65"/>
      <name val="&quot;Helvetica Neue&quot;"/>
    </font>
    <font>
      <color theme="1"/>
      <name val="Arial"/>
    </font>
    <font>
      <u/>
      <sz val="9.000000"/>
      <color rgb="FFBDDCDC"/>
      <name val="Arial"/>
    </font>
  </fonts>
  <fills count="14">
    <fill>
      <patternFill patternType="none"/>
    </fill>
    <fill>
      <patternFill patternType="gray125"/>
    </fill>
    <fill>
      <patternFill patternType="solid">
        <fgColor indexed="64"/>
        <bgColor indexed="64"/>
      </patternFill>
    </fill>
    <fill>
      <patternFill patternType="solid">
        <fgColor indexed="5"/>
        <bgColor indexed="5"/>
      </patternFill>
    </fill>
    <fill>
      <patternFill patternType="solid">
        <fgColor theme="1"/>
        <bgColor theme="1"/>
      </patternFill>
    </fill>
    <fill>
      <patternFill patternType="solid">
        <fgColor rgb="FFCFE2F3"/>
        <bgColor rgb="FFCFE2F3"/>
      </patternFill>
    </fill>
    <fill>
      <patternFill patternType="solid">
        <fgColor rgb="FFC9DAF8"/>
        <bgColor rgb="FFC9DAF8"/>
      </patternFill>
    </fill>
    <fill>
      <patternFill patternType="solid">
        <fgColor indexed="2"/>
        <bgColor indexed="2"/>
      </patternFill>
    </fill>
    <fill>
      <patternFill patternType="solid">
        <fgColor rgb="FFB7E1CD"/>
        <bgColor rgb="FFB7E1CD"/>
      </patternFill>
    </fill>
    <fill>
      <patternFill patternType="solid">
        <fgColor indexed="52"/>
        <bgColor indexed="52"/>
      </patternFill>
    </fill>
    <fill>
      <patternFill patternType="solid">
        <fgColor rgb="FFFFF2CC"/>
        <bgColor rgb="FFFFF2CC"/>
      </patternFill>
    </fill>
    <fill>
      <patternFill patternType="solid">
        <fgColor rgb="FF282828"/>
        <bgColor rgb="FF282828"/>
      </patternFill>
    </fill>
    <fill>
      <patternFill patternType="solid">
        <fgColor indexed="3"/>
        <bgColor indexed="3"/>
      </patternFill>
    </fill>
    <fill>
      <patternFill patternType="solid">
        <fgColor theme="4"/>
        <bgColor theme="4"/>
      </patternFill>
    </fill>
  </fills>
  <borders count="20">
    <border>
      <left style="none"/>
      <right style="none"/>
      <top style="none"/>
      <bottom style="none"/>
      <diagonal style="none"/>
    </border>
    <border>
      <left style="none"/>
      <right style="none"/>
      <top style="none"/>
      <bottom style="thin">
        <color indexed="64"/>
      </bottom>
      <diagonal style="none"/>
    </border>
    <border>
      <left style="thin">
        <color indexed="64"/>
      </left>
      <right style="none"/>
      <top style="thin">
        <color indexed="64"/>
      </top>
      <bottom style="none"/>
      <diagonal style="none"/>
    </border>
    <border>
      <left style="none"/>
      <right style="thin">
        <color indexed="64"/>
      </right>
      <top style="thin">
        <color indexed="64"/>
      </top>
      <bottom style="none"/>
      <diagonal style="none"/>
    </border>
    <border>
      <left style="none"/>
      <right style="none"/>
      <top style="thin">
        <color indexed="64"/>
      </top>
      <bottom style="none"/>
      <diagonal style="none"/>
    </border>
    <border>
      <left style="thin">
        <color indexed="64"/>
      </left>
      <right style="none"/>
      <top style="none"/>
      <bottom style="none"/>
      <diagonal style="none"/>
    </border>
    <border>
      <left style="none"/>
      <right style="thin">
        <color indexed="64"/>
      </right>
      <top style="none"/>
      <bottom style="none"/>
      <diagonal style="none"/>
    </border>
    <border>
      <left style="thin">
        <color indexed="64"/>
      </left>
      <right style="none"/>
      <top style="none"/>
      <bottom style="thin">
        <color indexed="64"/>
      </bottom>
      <diagonal style="none"/>
    </border>
    <border>
      <left style="none"/>
      <right style="thin">
        <color indexed="64"/>
      </right>
      <top style="none"/>
      <bottom style="thin">
        <color indexed="64"/>
      </bottom>
      <diagonal style="none"/>
    </border>
    <border>
      <left style="thin">
        <color indexed="64"/>
      </left>
      <right style="none"/>
      <top style="thin">
        <color indexed="64"/>
      </top>
      <bottom style="thin">
        <color indexed="64"/>
      </bottom>
      <diagonal style="none"/>
    </border>
    <border>
      <left style="none"/>
      <right style="thin">
        <color indexed="64"/>
      </right>
      <top style="thin">
        <color indexed="64"/>
      </top>
      <bottom style="thin">
        <color indexed="64"/>
      </bottom>
      <diagonal style="none"/>
    </border>
    <border>
      <left style="none"/>
      <right style="none"/>
      <top style="thin">
        <color indexed="64"/>
      </top>
      <bottom style="thin">
        <color indexed="64"/>
      </bottom>
      <diagonal style="none"/>
    </border>
    <border>
      <left style="thin">
        <color indexed="64"/>
      </left>
      <right style="thin">
        <color indexed="64"/>
      </right>
      <top style="thin">
        <color indexed="64"/>
      </top>
      <bottom style="none"/>
      <diagonal style="none"/>
    </border>
    <border>
      <left style="thin">
        <color indexed="64"/>
      </left>
      <right style="thin">
        <color indexed="64"/>
      </right>
      <top style="none"/>
      <bottom style="none"/>
      <diagonal style="none"/>
    </border>
    <border>
      <left style="thin">
        <color indexed="64"/>
      </left>
      <right style="thin">
        <color indexed="64"/>
      </right>
      <top style="none"/>
      <bottom style="thin">
        <color indexed="64"/>
      </bottom>
      <diagonal style="none"/>
    </border>
    <border>
      <left style="thin">
        <color indexed="64"/>
      </left>
      <right style="thin">
        <color indexed="64"/>
      </right>
      <top style="thin">
        <color indexed="64"/>
      </top>
      <bottom style="thin">
        <color indexed="64"/>
      </bottom>
      <diagonal style="none"/>
    </border>
    <border>
      <left style="none"/>
      <right style="thick">
        <color indexed="64"/>
      </right>
      <top style="none"/>
      <bottom style="none"/>
      <diagonal style="none"/>
    </border>
    <border>
      <left style="thin">
        <color rgb="FF999999"/>
      </left>
      <right style="none"/>
      <top style="none"/>
      <bottom style="none"/>
      <diagonal style="none"/>
    </border>
    <border>
      <left style="none"/>
      <right style="thin">
        <color rgb="FF999999"/>
      </right>
      <top style="none"/>
      <bottom style="none"/>
      <diagonal style="none"/>
    </border>
    <border>
      <left style="none"/>
      <right style="none"/>
      <top style="thick">
        <color indexed="64"/>
      </top>
      <bottom style="none"/>
      <diagonal style="none"/>
    </border>
  </borders>
  <cellStyleXfs count="1">
    <xf fontId="0" fillId="0" borderId="0" numFmtId="0" applyNumberFormat="1" applyFont="1" applyFill="1" applyBorder="1"/>
  </cellStyleXfs>
  <cellXfs count="138">
    <xf fontId="0" fillId="0" borderId="0" numFmtId="0" xfId="0" applyAlignment="1">
      <alignment readingOrder="0"/>
    </xf>
    <xf fontId="1" fillId="2" borderId="1" numFmtId="0" xfId="0" applyFont="1" applyFill="1" applyBorder="1" applyAlignment="1">
      <alignment readingOrder="0"/>
    </xf>
    <xf fontId="2" fillId="0" borderId="2" numFmtId="0" xfId="0" applyFont="1" applyBorder="1" applyAlignment="1">
      <alignment readingOrder="0" vertical="top"/>
    </xf>
    <xf fontId="2" fillId="0" borderId="3" numFmtId="0" xfId="0" applyFont="1" applyBorder="1" applyAlignment="1">
      <alignment readingOrder="0"/>
    </xf>
    <xf fontId="2" fillId="0" borderId="2" numFmtId="0" xfId="0" applyFont="1" applyBorder="1" applyAlignment="1">
      <alignment readingOrder="0"/>
    </xf>
    <xf fontId="2" fillId="0" borderId="4" numFmtId="0" xfId="0" applyFont="1" applyBorder="1" applyAlignment="1">
      <alignment readingOrder="0"/>
    </xf>
    <xf fontId="2" fillId="0" borderId="5" numFmtId="0" xfId="0" applyFont="1" applyBorder="1" applyAlignment="1">
      <alignment readingOrder="0" vertical="top"/>
    </xf>
    <xf fontId="2" fillId="0" borderId="6" numFmtId="0" xfId="0" applyFont="1" applyBorder="1" applyAlignment="1">
      <alignment readingOrder="0"/>
    </xf>
    <xf fontId="2" fillId="0" borderId="0" numFmtId="0" xfId="0" applyFont="1" applyAlignment="1">
      <alignment readingOrder="0"/>
    </xf>
    <xf fontId="2" fillId="0" borderId="7" numFmtId="0" xfId="0" applyFont="1" applyBorder="1" applyAlignment="1">
      <alignment readingOrder="0" vertical="top"/>
    </xf>
    <xf fontId="2" fillId="0" borderId="8" numFmtId="0" xfId="0" applyFont="1" applyBorder="1" applyAlignment="1">
      <alignment readingOrder="0"/>
    </xf>
    <xf fontId="2" fillId="0" borderId="7" numFmtId="0" xfId="0" applyFont="1" applyBorder="1" applyAlignment="1">
      <alignment readingOrder="0"/>
    </xf>
    <xf fontId="2" fillId="0" borderId="1" numFmtId="0" xfId="0" applyFont="1" applyBorder="1" applyAlignment="1">
      <alignment readingOrder="0"/>
    </xf>
    <xf fontId="2" fillId="0" borderId="9" numFmtId="0" xfId="0" applyFont="1" applyBorder="1" applyAlignment="1">
      <alignment readingOrder="0" vertical="top"/>
    </xf>
    <xf fontId="2" fillId="0" borderId="10" numFmtId="0" xfId="0" applyFont="1" applyBorder="1" applyAlignment="1">
      <alignment readingOrder="0"/>
    </xf>
    <xf fontId="2" fillId="0" borderId="9" numFmtId="0" xfId="0" applyFont="1" applyBorder="1" applyAlignment="1">
      <alignment readingOrder="0"/>
    </xf>
    <xf fontId="2" fillId="0" borderId="11" numFmtId="0" xfId="0" applyFont="1" applyBorder="1" applyAlignment="1">
      <alignment readingOrder="0"/>
    </xf>
    <xf fontId="1" fillId="2" borderId="0" numFmtId="0" xfId="0" applyFont="1" applyFill="1" applyAlignment="1">
      <alignment readingOrder="0"/>
    </xf>
    <xf fontId="2" fillId="0" borderId="0" numFmtId="0" xfId="0" applyFont="1" applyAlignment="1">
      <alignment readingOrder="0" vertical="top"/>
    </xf>
    <xf fontId="3" fillId="0" borderId="12" numFmtId="0" xfId="0" applyFont="1" applyBorder="1" applyAlignment="1">
      <alignment horizontal="center" readingOrder="0" vertical="center"/>
    </xf>
    <xf fontId="3" fillId="0" borderId="13" numFmtId="0" xfId="0" applyFont="1" applyBorder="1" applyAlignment="1">
      <alignment horizontal="center" readingOrder="0" vertical="center"/>
    </xf>
    <xf fontId="3" fillId="0" borderId="14" numFmtId="0" xfId="0" applyFont="1" applyBorder="1" applyAlignment="1">
      <alignment horizontal="center" readingOrder="0" vertical="center"/>
    </xf>
    <xf fontId="3" fillId="0" borderId="15" numFmtId="0" xfId="0" applyFont="1" applyBorder="1" applyAlignment="1">
      <alignment horizontal="center" readingOrder="0" vertical="center"/>
    </xf>
    <xf fontId="4" fillId="2" borderId="0" numFmtId="0" xfId="0" applyFont="1" applyFill="1" applyAlignment="1">
      <alignment horizontal="center" readingOrder="0" wrapText="1"/>
    </xf>
    <xf fontId="4" fillId="2" borderId="4" numFmtId="0" xfId="0" applyFont="1" applyFill="1" applyBorder="1" applyAlignment="1">
      <alignment horizontal="center" readingOrder="0" wrapText="1"/>
    </xf>
    <xf fontId="5" fillId="2" borderId="0" numFmtId="0" xfId="0" applyFont="1" applyFill="1" applyAlignment="1">
      <alignment readingOrder="0"/>
    </xf>
    <xf fontId="6" fillId="0" borderId="0" numFmtId="0" xfId="0" applyFont="1" applyAlignment="1">
      <alignment readingOrder="0" wrapText="1"/>
    </xf>
    <xf fontId="6" fillId="0" borderId="0" numFmtId="0" xfId="0" applyFont="1" applyAlignment="1">
      <alignment wrapText="1"/>
    </xf>
    <xf fontId="7" fillId="0" borderId="0" numFmtId="0" xfId="0" applyFont="1" applyAlignment="1">
      <alignment readingOrder="0"/>
    </xf>
    <xf fontId="8" fillId="0" borderId="0" numFmtId="0" xfId="0" applyFont="1" applyAlignment="1">
      <alignment readingOrder="0"/>
    </xf>
    <xf fontId="9" fillId="2" borderId="4" numFmtId="0" xfId="0" applyFont="1" applyFill="1" applyBorder="1" applyAlignment="1">
      <alignment horizontal="center" readingOrder="0" wrapText="1"/>
    </xf>
    <xf fontId="10" fillId="0" borderId="0" numFmtId="0" xfId="0" applyFont="1" applyAlignment="1">
      <alignment readingOrder="0"/>
    </xf>
    <xf fontId="11" fillId="0" borderId="0" numFmtId="0" xfId="0" applyFont="1" applyAlignment="1">
      <alignment readingOrder="0" wrapText="1"/>
    </xf>
    <xf fontId="12" fillId="0" borderId="0" numFmtId="0" xfId="0" applyFont="1" applyAlignment="1">
      <alignment readingOrder="0" wrapText="1"/>
    </xf>
    <xf fontId="7" fillId="3" borderId="0" numFmtId="0" xfId="0" applyFont="1" applyFill="1" applyAlignment="1">
      <alignment readingOrder="0"/>
    </xf>
    <xf fontId="7" fillId="3" borderId="0" numFmtId="0" xfId="0" applyFont="1" applyFill="1"/>
    <xf fontId="13" fillId="4" borderId="0" numFmtId="0" xfId="0" applyFont="1" applyFill="1" applyAlignment="1">
      <alignment readingOrder="0"/>
    </xf>
    <xf fontId="14" fillId="4" borderId="16" numFmtId="0" xfId="0" applyFont="1" applyFill="1" applyBorder="1" applyAlignment="1">
      <alignment readingOrder="0"/>
    </xf>
    <xf fontId="7" fillId="5" borderId="0" numFmtId="0" xfId="0" applyFont="1" applyFill="1" applyAlignment="1">
      <alignment readingOrder="0"/>
    </xf>
    <xf fontId="7" fillId="5" borderId="16" numFmtId="0" xfId="0" applyFont="1" applyFill="1" applyBorder="1"/>
    <xf fontId="7" fillId="5" borderId="0" numFmtId="0" xfId="0" applyFont="1" applyFill="1"/>
    <xf fontId="7" fillId="0" borderId="0" numFmtId="0" xfId="0" applyFont="1"/>
    <xf fontId="7" fillId="0" borderId="16" numFmtId="0" xfId="0" applyFont="1" applyBorder="1"/>
    <xf fontId="8" fillId="0" borderId="0" numFmtId="0" xfId="0" applyFont="1"/>
    <xf fontId="8" fillId="0" borderId="0" numFmtId="0" xfId="0" applyFont="1" applyAlignment="1">
      <alignment horizontal="right" readingOrder="0"/>
    </xf>
    <xf fontId="8" fillId="0" borderId="16" numFmtId="0" xfId="0" applyFont="1" applyBorder="1"/>
    <xf fontId="13" fillId="4" borderId="0" numFmtId="0" xfId="0" applyFont="1" applyFill="1" applyAlignment="1">
      <alignment horizontal="center" readingOrder="0" vertical="center" wrapText="1"/>
    </xf>
    <xf fontId="14" fillId="4" borderId="0" numFmtId="0" xfId="0" applyFont="1" applyFill="1" applyAlignment="1">
      <alignment horizontal="center" readingOrder="0" vertical="center" wrapText="1"/>
    </xf>
    <xf fontId="14" fillId="4" borderId="17" numFmtId="0" xfId="0" applyFont="1" applyFill="1" applyBorder="1" applyAlignment="1">
      <alignment horizontal="center" readingOrder="0" vertical="center" wrapText="1"/>
    </xf>
    <xf fontId="15" fillId="0" borderId="18" numFmtId="0" xfId="0" applyFont="1" applyBorder="1"/>
    <xf fontId="14" fillId="4" borderId="18" numFmtId="0" xfId="0" applyFont="1" applyFill="1" applyBorder="1" applyAlignment="1">
      <alignment horizontal="center" readingOrder="0" vertical="center" wrapText="1"/>
    </xf>
    <xf fontId="8" fillId="0" borderId="0" numFmtId="0" xfId="0" applyFont="1" applyAlignment="1">
      <alignment horizontal="center" readingOrder="0" vertical="center" wrapText="1"/>
    </xf>
    <xf fontId="7" fillId="0" borderId="0" numFmtId="0" xfId="0" applyFont="1" applyAlignment="1">
      <alignment horizontal="right" readingOrder="0" vertical="center" wrapText="1"/>
    </xf>
    <xf fontId="7" fillId="0" borderId="0" numFmtId="0" xfId="0" applyFont="1" applyAlignment="1">
      <alignment readingOrder="0" vertical="center" wrapText="1"/>
    </xf>
    <xf fontId="7" fillId="0" borderId="5" numFmtId="0" xfId="0" applyFont="1" applyBorder="1" applyAlignment="1">
      <alignment horizontal="right" readingOrder="0" vertical="center" wrapText="1"/>
    </xf>
    <xf fontId="7" fillId="0" borderId="6" numFmtId="0" xfId="0" applyFont="1" applyBorder="1" applyAlignment="1">
      <alignment vertical="center" wrapText="1"/>
    </xf>
    <xf fontId="7" fillId="0" borderId="0" numFmtId="0" xfId="0" applyFont="1" applyAlignment="1">
      <alignment vertical="center" wrapText="1"/>
    </xf>
    <xf fontId="7" fillId="0" borderId="6" numFmtId="0" xfId="0" applyFont="1" applyBorder="1" applyAlignment="1">
      <alignment readingOrder="0" vertical="center" wrapText="1"/>
    </xf>
    <xf fontId="8" fillId="0" borderId="19" numFmtId="0" xfId="0" applyFont="1" applyBorder="1" applyAlignment="1">
      <alignment horizontal="center" readingOrder="0" vertical="center" wrapText="1"/>
    </xf>
    <xf fontId="7" fillId="0" borderId="19" numFmtId="0" xfId="0" applyFont="1" applyBorder="1" applyAlignment="1">
      <alignment readingOrder="0" vertical="center" wrapText="1"/>
    </xf>
    <xf fontId="15" fillId="0" borderId="19" numFmtId="0" xfId="0" applyFont="1" applyBorder="1"/>
    <xf fontId="14" fillId="4" borderId="0" numFmtId="0" xfId="0" applyFont="1" applyFill="1" applyAlignment="1">
      <alignment readingOrder="0"/>
    </xf>
    <xf fontId="7" fillId="6" borderId="0" numFmtId="0" xfId="0" applyFont="1" applyFill="1" applyAlignment="1">
      <alignment readingOrder="0"/>
    </xf>
    <xf fontId="9" fillId="2" borderId="0" numFmtId="0" xfId="0" applyFont="1" applyFill="1" applyAlignment="1">
      <alignment horizontal="center" readingOrder="0" wrapText="1"/>
    </xf>
    <xf fontId="9" fillId="7" borderId="4" numFmtId="0" xfId="0" applyFont="1" applyFill="1" applyBorder="1" applyAlignment="1">
      <alignment horizontal="center" readingOrder="0" wrapText="1"/>
    </xf>
    <xf fontId="16" fillId="2" borderId="15" numFmtId="0" xfId="0" applyFont="1" applyFill="1" applyBorder="1"/>
    <xf fontId="6" fillId="0" borderId="0" numFmtId="20" xfId="0" applyNumberFormat="1" applyFont="1" applyAlignment="1">
      <alignment readingOrder="0" wrapText="1"/>
    </xf>
    <xf fontId="17" fillId="8" borderId="0" numFmtId="0" xfId="0" applyFont="1" applyFill="1"/>
    <xf fontId="15" fillId="0" borderId="0" numFmtId="0" xfId="0" applyFont="1"/>
    <xf fontId="6" fillId="3" borderId="0" numFmtId="0" xfId="0" applyFont="1" applyFill="1" applyAlignment="1">
      <alignment readingOrder="0" wrapText="1"/>
    </xf>
    <xf fontId="6" fillId="3" borderId="0" numFmtId="0" xfId="0" applyFont="1" applyFill="1" applyAlignment="1">
      <alignment wrapText="1"/>
    </xf>
    <xf fontId="6" fillId="3" borderId="0" numFmtId="20" xfId="0" applyNumberFormat="1" applyFont="1" applyFill="1" applyAlignment="1">
      <alignment readingOrder="0" wrapText="1"/>
    </xf>
    <xf fontId="17" fillId="0" borderId="0" numFmtId="0" xfId="0" applyFont="1" applyAlignment="1">
      <alignment readingOrder="0"/>
    </xf>
    <xf fontId="7" fillId="7" borderId="0" numFmtId="0" xfId="0" applyFont="1" applyFill="1" applyAlignment="1">
      <alignment readingOrder="0"/>
    </xf>
    <xf fontId="7" fillId="9" borderId="0" numFmtId="0" xfId="0" applyFont="1" applyFill="1" applyAlignment="1">
      <alignment readingOrder="0"/>
    </xf>
    <xf fontId="6" fillId="7" borderId="0" numFmtId="0" xfId="0" applyFont="1" applyFill="1" applyAlignment="1">
      <alignment wrapText="1"/>
    </xf>
    <xf fontId="6" fillId="10" borderId="0" numFmtId="0" xfId="0" applyFont="1" applyFill="1" applyAlignment="1">
      <alignment wrapText="1"/>
    </xf>
    <xf fontId="18" fillId="11" borderId="0" numFmtId="0" xfId="0" applyFont="1" applyFill="1" applyAlignment="1">
      <alignment readingOrder="0"/>
    </xf>
    <xf fontId="12" fillId="0" borderId="0" numFmtId="20" xfId="0" applyNumberFormat="1" applyFont="1" applyAlignment="1">
      <alignment readingOrder="0" wrapText="1"/>
    </xf>
    <xf fontId="6" fillId="10" borderId="2" numFmtId="0" xfId="0" applyFont="1" applyFill="1" applyBorder="1" applyAlignment="1">
      <alignment wrapText="1"/>
    </xf>
    <xf fontId="6" fillId="0" borderId="4" numFmtId="0" xfId="0" applyFont="1" applyBorder="1" applyAlignment="1">
      <alignment wrapText="1"/>
    </xf>
    <xf fontId="6" fillId="0" borderId="4" numFmtId="0" xfId="0" applyFont="1" applyBorder="1" applyAlignment="1">
      <alignment readingOrder="0" wrapText="1"/>
    </xf>
    <xf fontId="6" fillId="0" borderId="4" numFmtId="20" xfId="0" applyNumberFormat="1" applyFont="1" applyBorder="1" applyAlignment="1">
      <alignment readingOrder="0" wrapText="1"/>
    </xf>
    <xf fontId="7" fillId="0" borderId="4" numFmtId="0" xfId="0" applyFont="1" applyBorder="1"/>
    <xf fontId="7" fillId="0" borderId="3" numFmtId="0" xfId="0" applyFont="1" applyBorder="1"/>
    <xf fontId="6" fillId="10" borderId="5" numFmtId="0" xfId="0" applyFont="1" applyFill="1" applyBorder="1" applyAlignment="1">
      <alignment readingOrder="0" wrapText="1"/>
    </xf>
    <xf fontId="7" fillId="0" borderId="6" numFmtId="0" xfId="0" applyFont="1" applyBorder="1"/>
    <xf fontId="6" fillId="10" borderId="5" numFmtId="0" xfId="0" applyFont="1" applyFill="1" applyBorder="1" applyAlignment="1">
      <alignment wrapText="1"/>
    </xf>
    <xf fontId="6" fillId="7" borderId="0" numFmtId="0" xfId="0" applyFont="1" applyFill="1" applyAlignment="1">
      <alignment readingOrder="0" wrapText="1"/>
    </xf>
    <xf fontId="6" fillId="10" borderId="7" numFmtId="0" xfId="0" applyFont="1" applyFill="1" applyBorder="1" applyAlignment="1">
      <alignment readingOrder="0" wrapText="1"/>
    </xf>
    <xf fontId="6" fillId="0" borderId="1" numFmtId="0" xfId="0" applyFont="1" applyBorder="1" applyAlignment="1">
      <alignment readingOrder="0" wrapText="1"/>
    </xf>
    <xf fontId="6" fillId="0" borderId="1" numFmtId="0" xfId="0" applyFont="1" applyBorder="1" applyAlignment="1">
      <alignment wrapText="1"/>
    </xf>
    <xf fontId="6" fillId="0" borderId="1" numFmtId="20" xfId="0" applyNumberFormat="1" applyFont="1" applyBorder="1" applyAlignment="1">
      <alignment readingOrder="0" wrapText="1"/>
    </xf>
    <xf fontId="7" fillId="0" borderId="1" numFmtId="0" xfId="0" applyFont="1" applyBorder="1"/>
    <xf fontId="7" fillId="0" borderId="8" numFmtId="0" xfId="0" applyFont="1" applyBorder="1" applyAlignment="1">
      <alignment readingOrder="0"/>
    </xf>
    <xf fontId="7" fillId="0" borderId="0" numFmtId="20" xfId="0" applyNumberFormat="1" applyFont="1" applyAlignment="1">
      <alignment readingOrder="0"/>
    </xf>
    <xf fontId="2" fillId="12" borderId="2" numFmtId="0" xfId="0" applyFont="1" applyFill="1" applyBorder="1" applyAlignment="1">
      <alignment readingOrder="0" vertical="top"/>
    </xf>
    <xf fontId="2" fillId="12" borderId="4" numFmtId="0" xfId="0" applyFont="1" applyFill="1" applyBorder="1" applyAlignment="1">
      <alignment readingOrder="0"/>
    </xf>
    <xf fontId="3" fillId="12" borderId="12" numFmtId="0" xfId="0" applyFont="1" applyFill="1" applyBorder="1" applyAlignment="1">
      <alignment horizontal="center" readingOrder="0" vertical="center"/>
    </xf>
    <xf fontId="2" fillId="12" borderId="4" numFmtId="0" xfId="0" applyFont="1" applyFill="1" applyBorder="1"/>
    <xf fontId="2" fillId="0" borderId="3" numFmtId="0" xfId="0" applyFont="1" applyBorder="1"/>
    <xf fontId="15" fillId="0" borderId="5" numFmtId="0" xfId="0" applyFont="1" applyBorder="1"/>
    <xf fontId="2" fillId="12" borderId="0" numFmtId="0" xfId="0" applyFont="1" applyFill="1" applyAlignment="1">
      <alignment readingOrder="0"/>
    </xf>
    <xf fontId="15" fillId="0" borderId="13" numFmtId="0" xfId="0" applyFont="1" applyBorder="1"/>
    <xf fontId="2" fillId="12" borderId="0" numFmtId="0" xfId="0" applyFont="1" applyFill="1"/>
    <xf fontId="2" fillId="0" borderId="6" numFmtId="0" xfId="0" applyFont="1" applyBorder="1"/>
    <xf fontId="15" fillId="0" borderId="14" numFmtId="0" xfId="0" applyFont="1" applyBorder="1"/>
    <xf fontId="2" fillId="0" borderId="0" numFmtId="0" xfId="0" applyFont="1"/>
    <xf fontId="3" fillId="0" borderId="0" numFmtId="0" xfId="0" applyFont="1" applyAlignment="1">
      <alignment horizontal="center" readingOrder="0" vertical="center"/>
    </xf>
    <xf fontId="15" fillId="0" borderId="7" numFmtId="0" xfId="0" applyFont="1" applyBorder="1"/>
    <xf fontId="3" fillId="0" borderId="1" numFmtId="0" xfId="0" applyFont="1" applyBorder="1" applyAlignment="1">
      <alignment horizontal="center" readingOrder="0" vertical="center"/>
    </xf>
    <xf fontId="2" fillId="0" borderId="8" numFmtId="0" xfId="0" applyFont="1" applyBorder="1"/>
    <xf fontId="3" fillId="0" borderId="4" numFmtId="0" xfId="0" applyFont="1" applyBorder="1" applyAlignment="1">
      <alignment horizontal="center" readingOrder="0" vertical="center"/>
    </xf>
    <xf fontId="2" fillId="0" borderId="4" numFmtId="0" xfId="0" applyFont="1" applyBorder="1"/>
    <xf fontId="3" fillId="12" borderId="15" numFmtId="0" xfId="0" applyFont="1" applyFill="1" applyBorder="1" applyAlignment="1">
      <alignment horizontal="center" readingOrder="0" vertical="center"/>
    </xf>
    <xf fontId="3" fillId="12" borderId="0" numFmtId="0" xfId="0" applyFont="1" applyFill="1" applyAlignment="1">
      <alignment horizontal="center" readingOrder="0" vertical="center"/>
    </xf>
    <xf fontId="2" fillId="12" borderId="1" numFmtId="0" xfId="0" applyFont="1" applyFill="1" applyBorder="1" applyAlignment="1">
      <alignment readingOrder="0"/>
    </xf>
    <xf fontId="3" fillId="12" borderId="1" numFmtId="0" xfId="0" applyFont="1" applyFill="1" applyBorder="1" applyAlignment="1">
      <alignment horizontal="center" readingOrder="0" vertical="center"/>
    </xf>
    <xf fontId="2" fillId="12" borderId="1" numFmtId="0" xfId="0" applyFont="1" applyFill="1" applyBorder="1"/>
    <xf fontId="3" fillId="12" borderId="4" numFmtId="0" xfId="0" applyFont="1" applyFill="1" applyBorder="1" applyAlignment="1">
      <alignment horizontal="center" readingOrder="0" vertical="center"/>
    </xf>
    <xf fontId="5" fillId="13" borderId="11" numFmtId="0" xfId="0" applyFont="1" applyFill="1" applyBorder="1" applyAlignment="1">
      <alignment readingOrder="0"/>
    </xf>
    <xf fontId="15" fillId="0" borderId="1" numFmtId="0" xfId="0" applyFont="1" applyBorder="1"/>
    <xf fontId="2" fillId="0" borderId="1" numFmtId="0" xfId="0" applyFont="1" applyBorder="1"/>
    <xf fontId="3" fillId="12" borderId="13" numFmtId="0" xfId="0" applyFont="1" applyFill="1" applyBorder="1" applyAlignment="1">
      <alignment horizontal="center" readingOrder="0" vertical="center"/>
    </xf>
    <xf fontId="2" fillId="12" borderId="9" numFmtId="0" xfId="0" applyFont="1" applyFill="1" applyBorder="1" applyAlignment="1">
      <alignment readingOrder="0"/>
    </xf>
    <xf fontId="2" fillId="12" borderId="11" numFmtId="0" xfId="0" applyFont="1" applyFill="1" applyBorder="1" applyAlignment="1">
      <alignment readingOrder="0"/>
    </xf>
    <xf fontId="3" fillId="12" borderId="11" numFmtId="0" xfId="0" applyFont="1" applyFill="1" applyBorder="1" applyAlignment="1">
      <alignment horizontal="center" readingOrder="0" vertical="center"/>
    </xf>
    <xf fontId="2" fillId="12" borderId="11" numFmtId="0" xfId="0" applyFont="1" applyFill="1" applyBorder="1"/>
    <xf fontId="2" fillId="0" borderId="10" numFmtId="0" xfId="0" applyFont="1" applyBorder="1"/>
    <xf fontId="2" fillId="0" borderId="11" numFmtId="0" xfId="0" applyFont="1" applyBorder="1"/>
    <xf fontId="2" fillId="3" borderId="2" numFmtId="0" xfId="0" applyFont="1" applyFill="1" applyBorder="1" applyAlignment="1">
      <alignment readingOrder="0" vertical="top"/>
    </xf>
    <xf fontId="2" fillId="3" borderId="4" numFmtId="0" xfId="0" applyFont="1" applyFill="1" applyBorder="1" applyAlignment="1">
      <alignment readingOrder="0"/>
    </xf>
    <xf fontId="3" fillId="3" borderId="4" numFmtId="0" xfId="0" applyFont="1" applyFill="1" applyBorder="1" applyAlignment="1">
      <alignment horizontal="center" readingOrder="0" vertical="center"/>
    </xf>
    <xf fontId="2" fillId="3" borderId="0" numFmtId="0" xfId="0" applyFont="1" applyFill="1" applyAlignment="1">
      <alignment readingOrder="0"/>
    </xf>
    <xf fontId="3" fillId="3" borderId="0" numFmtId="0" xfId="0" applyFont="1" applyFill="1" applyAlignment="1">
      <alignment horizontal="center" readingOrder="0" vertical="center"/>
    </xf>
    <xf fontId="2" fillId="3" borderId="1" numFmtId="0" xfId="0" applyFont="1" applyFill="1" applyBorder="1" applyAlignment="1">
      <alignment readingOrder="0"/>
    </xf>
    <xf fontId="3" fillId="3" borderId="1" numFmtId="0" xfId="0" applyFont="1" applyFill="1" applyBorder="1" applyAlignment="1">
      <alignment horizontal="center" readingOrder="0" vertical="center"/>
    </xf>
    <xf fontId="2" fillId="12" borderId="0" numFmtId="0" xfId="0" applyFont="1" applyFill="1" applyAlignment="1">
      <alignment readingOrder="0"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haredStrings" Target="sharedStrings.xml"/><Relationship  Id="rId15"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Relationships xmlns="http://schemas.openxmlformats.org/package/2006/relationships"><Relationship  Id="rId1" Type="http://schemas.openxmlformats.org/officeDocument/2006/relationships/hyperlink" Target="https://sv.testing.dev.xcit.org/api/v1/sessions/xcit-background_v2021.02/start" TargetMode="External"/></Relationships>
</file>

<file path=xl/worksheets/_rels/sheet9.xml.rels><?xml version="1.0" encoding="UTF-8" standalone="yes"?><Relationships xmlns="http://schemas.openxmlformats.org/package/2006/relationships"><Relationship  Id="rId1" Type="http://schemas.openxmlformats.org/officeDocument/2006/relationships/hyperlink" Target="https://sv.testing.dev.xcit.org/api/v1/sessions/xcit-background_v2021.02/star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2.75"/>
  <cols>
    <col customWidth="1" min="1" max="1" width="15.25"/>
    <col customWidth="1" min="2" max="2" width="17"/>
    <col customWidth="1" min="3" max="3" width="55.25"/>
    <col customWidth="1" min="4" max="4" width="18.5"/>
  </cols>
  <sheetData>
    <row r="1" ht="12.75">
      <c r="A1" s="1" t="s">
        <v>0</v>
      </c>
      <c r="B1" s="1" t="s">
        <v>1</v>
      </c>
      <c r="C1" s="1" t="s">
        <v>2</v>
      </c>
      <c r="D1" s="1" t="s">
        <v>3</v>
      </c>
    </row>
    <row r="2" ht="15">
      <c r="A2" s="2" t="s">
        <v>4</v>
      </c>
      <c r="B2" s="3" t="s">
        <v>5</v>
      </c>
      <c r="C2" s="4" t="s">
        <v>6</v>
      </c>
      <c r="D2" s="5">
        <v>6</v>
      </c>
    </row>
    <row r="3" ht="15">
      <c r="A3" s="6" t="s">
        <v>4</v>
      </c>
      <c r="B3" s="7" t="s">
        <v>7</v>
      </c>
      <c r="C3" s="8" t="s">
        <v>8</v>
      </c>
      <c r="D3" s="8">
        <v>10</v>
      </c>
    </row>
    <row r="4" ht="15">
      <c r="A4" s="9" t="s">
        <v>4</v>
      </c>
      <c r="B4" s="10" t="s">
        <v>9</v>
      </c>
      <c r="C4" s="11" t="s">
        <v>10</v>
      </c>
      <c r="D4" s="12">
        <v>10</v>
      </c>
    </row>
    <row r="5" ht="15">
      <c r="A5" s="13" t="s">
        <v>11</v>
      </c>
      <c r="B5" s="14" t="s">
        <v>12</v>
      </c>
      <c r="C5" s="15" t="s">
        <v>13</v>
      </c>
      <c r="D5" s="16">
        <v>25</v>
      </c>
    </row>
    <row r="6" ht="15">
      <c r="A6" s="2" t="s">
        <v>14</v>
      </c>
      <c r="B6" s="3" t="s">
        <v>15</v>
      </c>
      <c r="C6" s="8" t="s">
        <v>16</v>
      </c>
      <c r="D6" s="8">
        <v>0</v>
      </c>
    </row>
    <row r="7" ht="15">
      <c r="A7" s="6" t="s">
        <v>14</v>
      </c>
      <c r="B7" s="7" t="s">
        <v>17</v>
      </c>
      <c r="C7" s="8" t="s">
        <v>18</v>
      </c>
      <c r="D7" s="8">
        <v>0</v>
      </c>
    </row>
    <row r="8" ht="15">
      <c r="A8" s="6" t="s">
        <v>14</v>
      </c>
      <c r="B8" s="7" t="s">
        <v>19</v>
      </c>
      <c r="C8" s="8" t="s">
        <v>20</v>
      </c>
      <c r="D8" s="8">
        <v>26</v>
      </c>
    </row>
    <row r="9" ht="15">
      <c r="A9" s="6" t="s">
        <v>14</v>
      </c>
      <c r="B9" s="7" t="s">
        <v>21</v>
      </c>
      <c r="C9" s="8" t="s">
        <v>22</v>
      </c>
      <c r="D9" s="8">
        <v>0</v>
      </c>
    </row>
    <row r="10" ht="15">
      <c r="A10" s="6" t="s">
        <v>14</v>
      </c>
      <c r="B10" s="7" t="s">
        <v>23</v>
      </c>
      <c r="C10" s="8" t="s">
        <v>24</v>
      </c>
      <c r="D10" s="8">
        <v>0</v>
      </c>
    </row>
    <row r="11" ht="15">
      <c r="A11" s="6" t="s">
        <v>14</v>
      </c>
      <c r="B11" s="7" t="s">
        <v>25</v>
      </c>
      <c r="C11" s="8" t="s">
        <v>20</v>
      </c>
      <c r="D11" s="8">
        <v>26</v>
      </c>
    </row>
    <row r="12" ht="15">
      <c r="A12" s="6" t="s">
        <v>14</v>
      </c>
      <c r="B12" s="7" t="s">
        <v>26</v>
      </c>
      <c r="C12" s="8" t="s">
        <v>27</v>
      </c>
      <c r="D12" s="8">
        <v>0</v>
      </c>
    </row>
    <row r="13" ht="15">
      <c r="A13" s="6" t="s">
        <v>14</v>
      </c>
      <c r="B13" s="7" t="s">
        <v>28</v>
      </c>
      <c r="C13" s="8" t="s">
        <v>29</v>
      </c>
      <c r="D13" s="8">
        <v>22</v>
      </c>
    </row>
    <row r="14" ht="15">
      <c r="A14" s="9" t="s">
        <v>14</v>
      </c>
      <c r="B14" s="10" t="s">
        <v>30</v>
      </c>
      <c r="C14" s="11" t="s">
        <v>31</v>
      </c>
      <c r="D14" s="12">
        <v>11</v>
      </c>
    </row>
    <row r="15" ht="15">
      <c r="A15" s="2" t="s">
        <v>32</v>
      </c>
      <c r="B15" s="3" t="s">
        <v>33</v>
      </c>
      <c r="C15" s="8" t="s">
        <v>34</v>
      </c>
      <c r="D15" s="8">
        <v>5</v>
      </c>
    </row>
    <row r="16" ht="15">
      <c r="A16" s="9" t="s">
        <v>32</v>
      </c>
      <c r="B16" s="10" t="s">
        <v>35</v>
      </c>
      <c r="C16" s="11" t="s">
        <v>36</v>
      </c>
      <c r="D16" s="12">
        <v>5</v>
      </c>
    </row>
    <row r="17" ht="15">
      <c r="A17" s="2" t="s">
        <v>37</v>
      </c>
      <c r="B17" s="3" t="s">
        <v>38</v>
      </c>
      <c r="C17" s="8" t="s">
        <v>39</v>
      </c>
      <c r="D17" s="8">
        <v>11</v>
      </c>
    </row>
    <row r="18" ht="15">
      <c r="A18" s="6" t="s">
        <v>37</v>
      </c>
      <c r="B18" s="7" t="s">
        <v>40</v>
      </c>
      <c r="C18" s="8" t="s">
        <v>41</v>
      </c>
      <c r="D18" s="8">
        <v>4</v>
      </c>
    </row>
    <row r="19" ht="15">
      <c r="A19" s="9" t="s">
        <v>37</v>
      </c>
      <c r="B19" s="10" t="s">
        <v>42</v>
      </c>
      <c r="C19" s="11" t="s">
        <v>43</v>
      </c>
      <c r="D19" s="12">
        <v>6</v>
      </c>
    </row>
    <row r="20" ht="15">
      <c r="A20" s="2" t="s">
        <v>44</v>
      </c>
      <c r="B20" s="3" t="s">
        <v>45</v>
      </c>
      <c r="C20" s="8" t="s">
        <v>46</v>
      </c>
      <c r="D20" s="8">
        <v>11</v>
      </c>
    </row>
    <row r="21" ht="15">
      <c r="A21" s="6" t="s">
        <v>44</v>
      </c>
      <c r="B21" s="7" t="s">
        <v>47</v>
      </c>
      <c r="C21" s="8" t="s">
        <v>48</v>
      </c>
      <c r="D21" s="8">
        <v>11</v>
      </c>
    </row>
    <row r="22" ht="15">
      <c r="A22" s="9" t="s">
        <v>44</v>
      </c>
      <c r="B22" s="10" t="s">
        <v>49</v>
      </c>
      <c r="C22" s="11" t="s">
        <v>50</v>
      </c>
      <c r="D22" s="12">
        <v>7</v>
      </c>
    </row>
    <row r="23" ht="15">
      <c r="A23" s="2" t="s">
        <v>51</v>
      </c>
      <c r="B23" s="3" t="s">
        <v>52</v>
      </c>
      <c r="C23" s="8" t="s">
        <v>53</v>
      </c>
      <c r="D23" s="8">
        <v>8</v>
      </c>
    </row>
    <row r="24" ht="15">
      <c r="A24" s="6" t="s">
        <v>51</v>
      </c>
      <c r="B24" s="7" t="s">
        <v>54</v>
      </c>
      <c r="C24" s="8" t="s">
        <v>55</v>
      </c>
      <c r="D24" s="8">
        <v>8</v>
      </c>
    </row>
    <row r="25" ht="15">
      <c r="A25" s="6" t="s">
        <v>51</v>
      </c>
      <c r="B25" s="7" t="s">
        <v>56</v>
      </c>
      <c r="C25" s="8" t="s">
        <v>57</v>
      </c>
      <c r="D25" s="8">
        <v>8</v>
      </c>
    </row>
    <row r="26" ht="15">
      <c r="A26" s="9" t="s">
        <v>51</v>
      </c>
      <c r="B26" s="10" t="s">
        <v>58</v>
      </c>
      <c r="C26" s="11" t="s">
        <v>59</v>
      </c>
      <c r="D26" s="12">
        <v>8</v>
      </c>
    </row>
    <row r="27" ht="15">
      <c r="A27" s="15" t="s">
        <v>60</v>
      </c>
      <c r="B27" s="14" t="s">
        <v>61</v>
      </c>
      <c r="C27" s="15" t="s">
        <v>62</v>
      </c>
      <c r="D27" s="16">
        <v>15</v>
      </c>
    </row>
    <row r="28" ht="15">
      <c r="A28" s="15" t="s">
        <v>63</v>
      </c>
      <c r="B28" s="14" t="s">
        <v>64</v>
      </c>
      <c r="C28" s="15" t="s">
        <v>65</v>
      </c>
      <c r="D28" s="16">
        <v>8</v>
      </c>
    </row>
    <row r="29" ht="15">
      <c r="A29" s="2" t="s">
        <v>66</v>
      </c>
      <c r="B29" s="3" t="s">
        <v>67</v>
      </c>
      <c r="C29" s="8" t="s">
        <v>68</v>
      </c>
      <c r="D29" s="8">
        <v>8</v>
      </c>
    </row>
    <row r="30" ht="15">
      <c r="A30" s="9" t="s">
        <v>66</v>
      </c>
      <c r="B30" s="10" t="s">
        <v>69</v>
      </c>
      <c r="C30" s="11" t="s">
        <v>70</v>
      </c>
      <c r="D30" s="12">
        <v>9</v>
      </c>
    </row>
    <row r="31" ht="15">
      <c r="A31" s="2" t="s">
        <v>71</v>
      </c>
      <c r="B31" s="3" t="s">
        <v>72</v>
      </c>
      <c r="C31" s="8" t="s">
        <v>73</v>
      </c>
      <c r="D31" s="8">
        <v>20</v>
      </c>
    </row>
    <row r="32" ht="15">
      <c r="A32" s="6" t="s">
        <v>71</v>
      </c>
      <c r="B32" s="7" t="s">
        <v>74</v>
      </c>
      <c r="C32" s="8" t="s">
        <v>75</v>
      </c>
      <c r="D32" s="8">
        <v>25</v>
      </c>
    </row>
    <row r="33" ht="15">
      <c r="A33" s="9" t="s">
        <v>71</v>
      </c>
      <c r="B33" s="10" t="s">
        <v>76</v>
      </c>
      <c r="C33" s="11" t="s">
        <v>77</v>
      </c>
      <c r="D33" s="12">
        <v>25</v>
      </c>
    </row>
    <row r="34" ht="15">
      <c r="A34" s="15" t="s">
        <v>78</v>
      </c>
      <c r="B34" s="14" t="s">
        <v>79</v>
      </c>
      <c r="C34" s="15" t="s">
        <v>80</v>
      </c>
      <c r="D34" s="16">
        <v>8</v>
      </c>
    </row>
    <row r="35" ht="15">
      <c r="A35" s="2" t="s">
        <v>81</v>
      </c>
      <c r="B35" s="3" t="s">
        <v>82</v>
      </c>
      <c r="C35" s="8" t="s">
        <v>83</v>
      </c>
      <c r="D35" s="8">
        <v>5</v>
      </c>
    </row>
    <row r="36" ht="15">
      <c r="A36" s="6" t="s">
        <v>81</v>
      </c>
      <c r="B36" s="7" t="s">
        <v>84</v>
      </c>
      <c r="C36" s="8" t="s">
        <v>85</v>
      </c>
      <c r="D36" s="8">
        <v>5</v>
      </c>
    </row>
    <row r="37" ht="15">
      <c r="A37" s="6" t="s">
        <v>81</v>
      </c>
      <c r="B37" s="7" t="s">
        <v>86</v>
      </c>
      <c r="C37" s="8" t="s">
        <v>87</v>
      </c>
      <c r="D37" s="8">
        <v>5</v>
      </c>
    </row>
    <row r="38" ht="15">
      <c r="A38" s="6" t="s">
        <v>81</v>
      </c>
      <c r="B38" s="7" t="s">
        <v>88</v>
      </c>
      <c r="C38" s="8" t="s">
        <v>89</v>
      </c>
      <c r="D38" s="8">
        <v>5</v>
      </c>
    </row>
    <row r="39" ht="15">
      <c r="A39" s="6" t="s">
        <v>81</v>
      </c>
      <c r="B39" s="7" t="s">
        <v>90</v>
      </c>
      <c r="C39" s="8" t="s">
        <v>91</v>
      </c>
      <c r="D39" s="8">
        <v>5</v>
      </c>
    </row>
    <row r="40" ht="15">
      <c r="A40" s="6" t="s">
        <v>81</v>
      </c>
      <c r="B40" s="7" t="s">
        <v>92</v>
      </c>
      <c r="C40" s="8" t="s">
        <v>93</v>
      </c>
      <c r="D40" s="8">
        <v>11</v>
      </c>
    </row>
    <row r="41" ht="15">
      <c r="A41" s="9" t="s">
        <v>81</v>
      </c>
      <c r="B41" s="10" t="s">
        <v>94</v>
      </c>
      <c r="C41" s="11" t="s">
        <v>95</v>
      </c>
      <c r="D41" s="12">
        <v>11</v>
      </c>
    </row>
    <row r="42" ht="15">
      <c r="A42" s="13" t="s">
        <v>96</v>
      </c>
      <c r="B42" s="14" t="s">
        <v>97</v>
      </c>
      <c r="C42" s="15" t="s">
        <v>98</v>
      </c>
      <c r="D42" s="16">
        <v>7</v>
      </c>
    </row>
    <row r="43" ht="15">
      <c r="A43" s="2" t="s">
        <v>99</v>
      </c>
      <c r="B43" s="3" t="s">
        <v>100</v>
      </c>
      <c r="C43" s="8" t="s">
        <v>101</v>
      </c>
      <c r="D43" s="8">
        <v>7</v>
      </c>
    </row>
    <row r="44" ht="15">
      <c r="A44" s="6" t="s">
        <v>99</v>
      </c>
      <c r="B44" s="7" t="s">
        <v>102</v>
      </c>
      <c r="C44" s="8" t="s">
        <v>103</v>
      </c>
      <c r="D44" s="8">
        <v>7</v>
      </c>
    </row>
    <row r="45" ht="15">
      <c r="A45" s="6" t="s">
        <v>99</v>
      </c>
      <c r="B45" s="7" t="s">
        <v>104</v>
      </c>
      <c r="C45" s="8" t="s">
        <v>105</v>
      </c>
      <c r="D45" s="8">
        <v>7</v>
      </c>
    </row>
    <row r="46" ht="15">
      <c r="A46" s="6" t="s">
        <v>99</v>
      </c>
      <c r="B46" s="7" t="s">
        <v>106</v>
      </c>
      <c r="C46" s="8" t="s">
        <v>107</v>
      </c>
      <c r="D46" s="8">
        <v>7</v>
      </c>
    </row>
    <row r="47" ht="15">
      <c r="A47" s="9" t="s">
        <v>99</v>
      </c>
      <c r="B47" s="10" t="s">
        <v>108</v>
      </c>
      <c r="C47" s="11" t="s">
        <v>109</v>
      </c>
      <c r="D47" s="12">
        <v>7</v>
      </c>
    </row>
    <row r="48" ht="15">
      <c r="A48" s="15" t="s">
        <v>110</v>
      </c>
      <c r="B48" s="14" t="s">
        <v>111</v>
      </c>
      <c r="C48" s="15" t="s">
        <v>112</v>
      </c>
      <c r="D48" s="16">
        <v>8</v>
      </c>
    </row>
    <row r="49" ht="15">
      <c r="A49" s="2" t="s">
        <v>113</v>
      </c>
      <c r="B49" s="3" t="s">
        <v>114</v>
      </c>
      <c r="C49" s="8" t="s">
        <v>115</v>
      </c>
      <c r="D49" s="8">
        <v>5</v>
      </c>
    </row>
    <row r="50" ht="15">
      <c r="A50" s="9" t="s">
        <v>113</v>
      </c>
      <c r="B50" s="10" t="s">
        <v>116</v>
      </c>
      <c r="C50" s="11" t="s">
        <v>117</v>
      </c>
      <c r="D50" s="12">
        <v>5</v>
      </c>
    </row>
    <row r="51" ht="15">
      <c r="A51" s="2" t="s">
        <v>118</v>
      </c>
      <c r="B51" s="3" t="s">
        <v>119</v>
      </c>
      <c r="C51" s="8" t="s">
        <v>120</v>
      </c>
      <c r="D51" s="8">
        <v>8</v>
      </c>
    </row>
    <row r="52" ht="15">
      <c r="A52" s="6" t="s">
        <v>118</v>
      </c>
      <c r="B52" s="7" t="s">
        <v>121</v>
      </c>
      <c r="C52" s="8" t="s">
        <v>122</v>
      </c>
      <c r="D52" s="8">
        <v>8</v>
      </c>
    </row>
    <row r="53" ht="15">
      <c r="A53" s="6" t="s">
        <v>118</v>
      </c>
      <c r="B53" s="7" t="s">
        <v>123</v>
      </c>
      <c r="C53" s="8" t="s">
        <v>124</v>
      </c>
      <c r="D53" s="8">
        <v>10</v>
      </c>
    </row>
    <row r="54" ht="15">
      <c r="A54" s="9" t="s">
        <v>118</v>
      </c>
      <c r="B54" s="10" t="s">
        <v>125</v>
      </c>
      <c r="C54" s="11" t="s">
        <v>126</v>
      </c>
      <c r="D54" s="12">
        <v>15</v>
      </c>
    </row>
    <row r="55" ht="15">
      <c r="A55" s="15" t="s">
        <v>127</v>
      </c>
      <c r="B55" s="14" t="s">
        <v>128</v>
      </c>
      <c r="C55" s="15" t="s">
        <v>129</v>
      </c>
      <c r="D55" s="16">
        <v>10</v>
      </c>
    </row>
    <row r="56" ht="15">
      <c r="A56" s="2" t="s">
        <v>130</v>
      </c>
      <c r="B56" s="3" t="s">
        <v>131</v>
      </c>
      <c r="C56" s="8" t="s">
        <v>132</v>
      </c>
      <c r="D56" s="8">
        <v>8</v>
      </c>
    </row>
    <row r="57" ht="15">
      <c r="A57" s="6" t="s">
        <v>130</v>
      </c>
      <c r="B57" s="7" t="s">
        <v>133</v>
      </c>
      <c r="C57" s="8" t="s">
        <v>134</v>
      </c>
      <c r="D57" s="8">
        <v>8</v>
      </c>
    </row>
    <row r="58" ht="15">
      <c r="A58" s="6" t="s">
        <v>130</v>
      </c>
      <c r="B58" s="7" t="s">
        <v>135</v>
      </c>
      <c r="C58" s="8" t="s">
        <v>136</v>
      </c>
      <c r="D58" s="8">
        <v>8</v>
      </c>
    </row>
    <row r="59" ht="15">
      <c r="A59" s="6" t="s">
        <v>130</v>
      </c>
      <c r="B59" s="7" t="s">
        <v>137</v>
      </c>
      <c r="C59" s="8" t="s">
        <v>138</v>
      </c>
      <c r="D59" s="8">
        <v>8</v>
      </c>
    </row>
    <row r="60" ht="15">
      <c r="A60" s="9" t="s">
        <v>130</v>
      </c>
      <c r="B60" s="10" t="s">
        <v>139</v>
      </c>
      <c r="C60" s="11" t="s">
        <v>140</v>
      </c>
      <c r="D60" s="12">
        <v>8</v>
      </c>
    </row>
    <row r="61" ht="15">
      <c r="A61" s="2" t="s">
        <v>141</v>
      </c>
      <c r="B61" s="3" t="s">
        <v>142</v>
      </c>
      <c r="C61" s="8" t="s">
        <v>143</v>
      </c>
      <c r="D61" s="8">
        <v>15</v>
      </c>
    </row>
    <row r="62" ht="15">
      <c r="A62" s="6" t="s">
        <v>141</v>
      </c>
      <c r="B62" s="7" t="s">
        <v>144</v>
      </c>
      <c r="C62" s="8" t="s">
        <v>145</v>
      </c>
      <c r="D62" s="8">
        <v>15</v>
      </c>
    </row>
    <row r="63" ht="15">
      <c r="A63" s="9" t="s">
        <v>141</v>
      </c>
      <c r="B63" s="10" t="s">
        <v>146</v>
      </c>
      <c r="C63" s="11" t="s">
        <v>147</v>
      </c>
      <c r="D63" s="12">
        <v>15</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630000000000001" defaultRowHeight="15.75" customHeight="1"/>
  <cols>
    <col customWidth="1" min="1" max="2" width="15.25"/>
    <col customWidth="1" min="3" max="3" width="17"/>
    <col customWidth="1" min="4" max="4" width="6"/>
    <col customWidth="1" min="5" max="5" width="55.25"/>
    <col customWidth="1" min="6" max="6" width="18.5"/>
  </cols>
  <sheetData>
    <row r="1">
      <c r="A1" s="17" t="s">
        <v>148</v>
      </c>
      <c r="B1" s="17" t="s">
        <v>0</v>
      </c>
      <c r="C1" s="17" t="s">
        <v>1</v>
      </c>
      <c r="D1" s="17" t="s">
        <v>149</v>
      </c>
      <c r="E1" s="17" t="s">
        <v>2</v>
      </c>
      <c r="F1" s="17" t="s">
        <v>3</v>
      </c>
    </row>
    <row r="2">
      <c r="A2" s="18" t="s">
        <v>150</v>
      </c>
      <c r="B2" s="2" t="s">
        <v>4</v>
      </c>
      <c r="C2" s="5" t="s">
        <v>5</v>
      </c>
      <c r="D2" s="19">
        <v>1</v>
      </c>
      <c r="E2" s="5" t="s">
        <v>6</v>
      </c>
      <c r="F2" s="5">
        <v>6</v>
      </c>
    </row>
    <row r="3">
      <c r="A3" s="18" t="s">
        <v>150</v>
      </c>
      <c r="B3" s="6" t="s">
        <v>4</v>
      </c>
      <c r="C3" s="8" t="s">
        <v>7</v>
      </c>
      <c r="D3" s="20">
        <v>1</v>
      </c>
      <c r="E3" s="8" t="s">
        <v>8</v>
      </c>
      <c r="F3" s="8">
        <v>10</v>
      </c>
    </row>
    <row r="4">
      <c r="A4" s="18" t="s">
        <v>150</v>
      </c>
      <c r="B4" s="9" t="s">
        <v>4</v>
      </c>
      <c r="C4" s="12" t="s">
        <v>9</v>
      </c>
      <c r="D4" s="21">
        <v>1</v>
      </c>
      <c r="E4" s="12" t="s">
        <v>10</v>
      </c>
      <c r="F4" s="12">
        <v>10</v>
      </c>
    </row>
    <row r="5">
      <c r="A5" s="18" t="s">
        <v>151</v>
      </c>
      <c r="B5" s="6" t="s">
        <v>11</v>
      </c>
      <c r="C5" s="8" t="s">
        <v>12</v>
      </c>
      <c r="D5" s="22">
        <v>2</v>
      </c>
      <c r="E5" s="8" t="s">
        <v>13</v>
      </c>
      <c r="F5" s="8">
        <v>25</v>
      </c>
    </row>
    <row r="6">
      <c r="A6" s="18" t="s">
        <v>152</v>
      </c>
      <c r="B6" s="2" t="s">
        <v>14</v>
      </c>
      <c r="C6" s="5" t="s">
        <v>15</v>
      </c>
      <c r="D6" s="19">
        <v>3</v>
      </c>
      <c r="E6" s="5" t="s">
        <v>16</v>
      </c>
      <c r="F6" s="5">
        <v>0</v>
      </c>
    </row>
    <row r="7">
      <c r="A7" s="18" t="s">
        <v>152</v>
      </c>
      <c r="B7" s="6" t="s">
        <v>14</v>
      </c>
      <c r="C7" s="8" t="s">
        <v>17</v>
      </c>
      <c r="D7" s="20">
        <v>3</v>
      </c>
      <c r="E7" s="8" t="s">
        <v>18</v>
      </c>
      <c r="F7" s="8">
        <v>0</v>
      </c>
    </row>
    <row r="8">
      <c r="A8" s="18" t="s">
        <v>152</v>
      </c>
      <c r="B8" s="6" t="s">
        <v>14</v>
      </c>
      <c r="C8" s="8" t="s">
        <v>19</v>
      </c>
      <c r="D8" s="21">
        <v>3</v>
      </c>
      <c r="E8" s="8" t="s">
        <v>20</v>
      </c>
      <c r="F8" s="8">
        <v>26</v>
      </c>
    </row>
    <row r="9">
      <c r="A9" s="18" t="s">
        <v>153</v>
      </c>
      <c r="B9" s="6" t="s">
        <v>14</v>
      </c>
      <c r="C9" s="8" t="s">
        <v>21</v>
      </c>
      <c r="D9" s="19">
        <v>4</v>
      </c>
      <c r="E9" s="8" t="s">
        <v>22</v>
      </c>
      <c r="F9" s="8">
        <v>0</v>
      </c>
    </row>
    <row r="10">
      <c r="A10" s="18" t="s">
        <v>153</v>
      </c>
      <c r="B10" s="6" t="s">
        <v>14</v>
      </c>
      <c r="C10" s="8" t="s">
        <v>23</v>
      </c>
      <c r="D10" s="20">
        <v>4</v>
      </c>
      <c r="E10" s="8" t="s">
        <v>24</v>
      </c>
      <c r="F10" s="8">
        <v>0</v>
      </c>
    </row>
    <row r="11">
      <c r="A11" s="18" t="s">
        <v>153</v>
      </c>
      <c r="B11" s="6" t="s">
        <v>14</v>
      </c>
      <c r="C11" s="8" t="s">
        <v>25</v>
      </c>
      <c r="D11" s="21">
        <v>4</v>
      </c>
      <c r="E11" s="8" t="s">
        <v>20</v>
      </c>
      <c r="F11" s="8">
        <v>26</v>
      </c>
    </row>
    <row r="12">
      <c r="A12" s="18" t="s">
        <v>154</v>
      </c>
      <c r="B12" s="6" t="s">
        <v>14</v>
      </c>
      <c r="C12" s="8" t="s">
        <v>26</v>
      </c>
      <c r="D12" s="19">
        <v>5</v>
      </c>
      <c r="E12" s="8" t="s">
        <v>27</v>
      </c>
      <c r="F12" s="8">
        <v>0</v>
      </c>
    </row>
    <row r="13">
      <c r="A13" s="18" t="s">
        <v>154</v>
      </c>
      <c r="B13" s="6" t="s">
        <v>14</v>
      </c>
      <c r="C13" s="8" t="s">
        <v>28</v>
      </c>
      <c r="D13" s="21">
        <v>5</v>
      </c>
      <c r="E13" s="8" t="s">
        <v>29</v>
      </c>
      <c r="F13" s="8">
        <v>22</v>
      </c>
    </row>
    <row r="14">
      <c r="A14" s="18" t="s">
        <v>155</v>
      </c>
      <c r="B14" s="6" t="s">
        <v>14</v>
      </c>
      <c r="C14" s="12" t="s">
        <v>30</v>
      </c>
      <c r="D14" s="22">
        <v>6</v>
      </c>
      <c r="E14" s="12" t="s">
        <v>31</v>
      </c>
      <c r="F14" s="12">
        <v>11</v>
      </c>
    </row>
    <row r="15">
      <c r="A15" s="18" t="s">
        <v>156</v>
      </c>
      <c r="B15" s="2" t="s">
        <v>32</v>
      </c>
      <c r="C15" s="5" t="s">
        <v>33</v>
      </c>
      <c r="D15" s="19">
        <v>7</v>
      </c>
      <c r="E15" s="5" t="s">
        <v>34</v>
      </c>
      <c r="F15" s="5">
        <v>5</v>
      </c>
    </row>
    <row r="16">
      <c r="A16" s="18" t="s">
        <v>156</v>
      </c>
      <c r="B16" s="6" t="s">
        <v>32</v>
      </c>
      <c r="C16" s="8" t="s">
        <v>35</v>
      </c>
      <c r="D16" s="21">
        <v>7</v>
      </c>
      <c r="E16" s="8" t="s">
        <v>36</v>
      </c>
      <c r="F16" s="8">
        <v>5</v>
      </c>
    </row>
    <row r="17">
      <c r="A17" s="18" t="s">
        <v>157</v>
      </c>
      <c r="B17" s="2" t="s">
        <v>37</v>
      </c>
      <c r="C17" s="5" t="s">
        <v>38</v>
      </c>
      <c r="D17" s="19">
        <v>8</v>
      </c>
      <c r="E17" s="5" t="s">
        <v>39</v>
      </c>
      <c r="F17" s="5">
        <v>11</v>
      </c>
    </row>
    <row r="18">
      <c r="A18" s="18" t="s">
        <v>157</v>
      </c>
      <c r="B18" s="6" t="s">
        <v>37</v>
      </c>
      <c r="C18" s="8" t="s">
        <v>40</v>
      </c>
      <c r="D18" s="20">
        <v>8</v>
      </c>
      <c r="E18" s="8" t="s">
        <v>41</v>
      </c>
      <c r="F18" s="8">
        <v>4</v>
      </c>
    </row>
    <row r="19">
      <c r="A19" s="18" t="s">
        <v>157</v>
      </c>
      <c r="B19" s="9" t="s">
        <v>37</v>
      </c>
      <c r="C19" s="12" t="s">
        <v>42</v>
      </c>
      <c r="D19" s="21">
        <v>8</v>
      </c>
      <c r="E19" s="12" t="s">
        <v>43</v>
      </c>
      <c r="F19" s="12">
        <v>6</v>
      </c>
    </row>
    <row r="20">
      <c r="A20" s="18" t="s">
        <v>158</v>
      </c>
      <c r="B20" s="2" t="s">
        <v>44</v>
      </c>
      <c r="C20" s="5" t="s">
        <v>45</v>
      </c>
      <c r="D20" s="22">
        <v>9</v>
      </c>
      <c r="E20" s="5" t="s">
        <v>46</v>
      </c>
      <c r="F20" s="5">
        <v>11</v>
      </c>
    </row>
    <row r="21">
      <c r="A21" s="18" t="s">
        <v>158</v>
      </c>
      <c r="B21" s="6" t="s">
        <v>44</v>
      </c>
      <c r="C21" s="8" t="s">
        <v>47</v>
      </c>
      <c r="D21" s="19">
        <v>10</v>
      </c>
      <c r="E21" s="8" t="s">
        <v>48</v>
      </c>
      <c r="F21" s="8">
        <v>11</v>
      </c>
    </row>
    <row r="22">
      <c r="A22" s="18" t="s">
        <v>158</v>
      </c>
      <c r="B22" s="6" t="s">
        <v>44</v>
      </c>
      <c r="C22" s="12" t="s">
        <v>49</v>
      </c>
      <c r="D22" s="21">
        <v>10</v>
      </c>
      <c r="E22" s="12" t="s">
        <v>50</v>
      </c>
      <c r="F22" s="12">
        <v>7</v>
      </c>
    </row>
    <row r="23">
      <c r="A23" s="18" t="s">
        <v>159</v>
      </c>
      <c r="B23" s="2" t="s">
        <v>51</v>
      </c>
      <c r="C23" s="5" t="s">
        <v>52</v>
      </c>
      <c r="D23" s="19">
        <v>11</v>
      </c>
      <c r="E23" s="5" t="s">
        <v>53</v>
      </c>
      <c r="F23" s="5">
        <v>8</v>
      </c>
    </row>
    <row r="24">
      <c r="A24" s="18" t="s">
        <v>159</v>
      </c>
      <c r="B24" s="6" t="s">
        <v>51</v>
      </c>
      <c r="C24" s="8" t="s">
        <v>54</v>
      </c>
      <c r="D24" s="20">
        <v>11</v>
      </c>
      <c r="E24" s="8" t="s">
        <v>55</v>
      </c>
      <c r="F24" s="8">
        <v>8</v>
      </c>
    </row>
    <row r="25">
      <c r="A25" s="18" t="s">
        <v>159</v>
      </c>
      <c r="B25" s="6" t="s">
        <v>51</v>
      </c>
      <c r="C25" s="8" t="s">
        <v>56</v>
      </c>
      <c r="D25" s="20">
        <v>11</v>
      </c>
      <c r="E25" s="8" t="s">
        <v>57</v>
      </c>
      <c r="F25" s="8">
        <v>8</v>
      </c>
    </row>
    <row r="26">
      <c r="A26" s="18" t="s">
        <v>159</v>
      </c>
      <c r="B26" s="6" t="s">
        <v>51</v>
      </c>
      <c r="C26" s="8" t="s">
        <v>58</v>
      </c>
      <c r="D26" s="21">
        <v>11</v>
      </c>
      <c r="E26" s="8" t="s">
        <v>59</v>
      </c>
      <c r="F26" s="8">
        <v>8</v>
      </c>
    </row>
    <row r="27">
      <c r="A27" s="8" t="s">
        <v>160</v>
      </c>
      <c r="B27" s="15" t="s">
        <v>60</v>
      </c>
      <c r="C27" s="16" t="s">
        <v>61</v>
      </c>
      <c r="D27" s="22">
        <v>12</v>
      </c>
      <c r="E27" s="16" t="s">
        <v>62</v>
      </c>
      <c r="F27" s="16">
        <v>15</v>
      </c>
    </row>
    <row r="28">
      <c r="A28" s="8" t="s">
        <v>161</v>
      </c>
      <c r="B28" s="15" t="s">
        <v>63</v>
      </c>
      <c r="C28" s="16" t="s">
        <v>64</v>
      </c>
      <c r="D28" s="22">
        <v>13</v>
      </c>
      <c r="E28" s="16" t="s">
        <v>65</v>
      </c>
      <c r="F28" s="16">
        <v>8</v>
      </c>
    </row>
    <row r="29">
      <c r="A29" s="18" t="s">
        <v>162</v>
      </c>
      <c r="B29" s="2" t="s">
        <v>66</v>
      </c>
      <c r="C29" s="5" t="s">
        <v>67</v>
      </c>
      <c r="D29" s="19">
        <v>14</v>
      </c>
      <c r="E29" s="5" t="s">
        <v>68</v>
      </c>
      <c r="F29" s="5">
        <v>8</v>
      </c>
    </row>
    <row r="30">
      <c r="A30" s="18" t="s">
        <v>162</v>
      </c>
      <c r="B30" s="9" t="s">
        <v>66</v>
      </c>
      <c r="C30" s="12" t="s">
        <v>69</v>
      </c>
      <c r="D30" s="21">
        <v>14</v>
      </c>
      <c r="E30" s="12" t="s">
        <v>70</v>
      </c>
      <c r="F30" s="12">
        <v>9</v>
      </c>
    </row>
    <row r="31">
      <c r="A31" s="18" t="s">
        <v>163</v>
      </c>
      <c r="B31" s="2" t="s">
        <v>71</v>
      </c>
      <c r="C31" s="5" t="s">
        <v>72</v>
      </c>
      <c r="D31" s="22">
        <v>15</v>
      </c>
      <c r="E31" s="5" t="s">
        <v>73</v>
      </c>
      <c r="F31" s="5">
        <v>20</v>
      </c>
    </row>
    <row r="32">
      <c r="A32" s="18" t="s">
        <v>164</v>
      </c>
      <c r="B32" s="6" t="s">
        <v>71</v>
      </c>
      <c r="C32" s="8" t="s">
        <v>74</v>
      </c>
      <c r="D32" s="19">
        <v>16</v>
      </c>
      <c r="E32" s="8" t="s">
        <v>75</v>
      </c>
      <c r="F32" s="8">
        <v>25</v>
      </c>
    </row>
    <row r="33">
      <c r="A33" s="18" t="s">
        <v>164</v>
      </c>
      <c r="B33" s="9" t="s">
        <v>71</v>
      </c>
      <c r="C33" s="12" t="s">
        <v>76</v>
      </c>
      <c r="D33" s="21">
        <v>16</v>
      </c>
      <c r="E33" s="12" t="s">
        <v>77</v>
      </c>
      <c r="F33" s="12">
        <v>25</v>
      </c>
    </row>
    <row r="34">
      <c r="A34" s="8" t="s">
        <v>165</v>
      </c>
      <c r="B34" s="15" t="s">
        <v>78</v>
      </c>
      <c r="C34" s="16" t="s">
        <v>79</v>
      </c>
      <c r="D34" s="22">
        <v>17</v>
      </c>
      <c r="E34" s="16" t="s">
        <v>80</v>
      </c>
      <c r="F34" s="16">
        <v>8</v>
      </c>
    </row>
    <row r="35">
      <c r="A35" s="18" t="s">
        <v>166</v>
      </c>
      <c r="B35" s="2" t="s">
        <v>81</v>
      </c>
      <c r="C35" s="5" t="s">
        <v>82</v>
      </c>
      <c r="D35" s="19">
        <v>18</v>
      </c>
      <c r="E35" s="5" t="s">
        <v>83</v>
      </c>
      <c r="F35" s="5">
        <v>5</v>
      </c>
    </row>
    <row r="36">
      <c r="A36" s="18" t="s">
        <v>166</v>
      </c>
      <c r="B36" s="6" t="s">
        <v>81</v>
      </c>
      <c r="C36" s="8" t="s">
        <v>84</v>
      </c>
      <c r="D36" s="20">
        <v>18</v>
      </c>
      <c r="E36" s="8" t="s">
        <v>85</v>
      </c>
      <c r="F36" s="8">
        <v>5</v>
      </c>
    </row>
    <row r="37">
      <c r="A37" s="18" t="s">
        <v>166</v>
      </c>
      <c r="B37" s="6" t="s">
        <v>81</v>
      </c>
      <c r="C37" s="8" t="s">
        <v>86</v>
      </c>
      <c r="D37" s="20">
        <v>18</v>
      </c>
      <c r="E37" s="8" t="s">
        <v>87</v>
      </c>
      <c r="F37" s="8">
        <v>5</v>
      </c>
    </row>
    <row r="38">
      <c r="A38" s="18" t="s">
        <v>166</v>
      </c>
      <c r="B38" s="6" t="s">
        <v>81</v>
      </c>
      <c r="C38" s="8" t="s">
        <v>88</v>
      </c>
      <c r="D38" s="20">
        <v>18</v>
      </c>
      <c r="E38" s="8" t="s">
        <v>89</v>
      </c>
      <c r="F38" s="8">
        <v>5</v>
      </c>
    </row>
    <row r="39">
      <c r="A39" s="18" t="s">
        <v>166</v>
      </c>
      <c r="B39" s="6" t="s">
        <v>81</v>
      </c>
      <c r="C39" s="8" t="s">
        <v>90</v>
      </c>
      <c r="D39" s="21">
        <v>18</v>
      </c>
      <c r="E39" s="8" t="s">
        <v>91</v>
      </c>
      <c r="F39" s="8">
        <v>5</v>
      </c>
    </row>
    <row r="40">
      <c r="A40" s="18" t="s">
        <v>167</v>
      </c>
      <c r="B40" s="6" t="s">
        <v>81</v>
      </c>
      <c r="C40" s="8" t="s">
        <v>92</v>
      </c>
      <c r="D40" s="19">
        <v>19</v>
      </c>
      <c r="E40" s="8" t="s">
        <v>93</v>
      </c>
      <c r="F40" s="8">
        <v>11</v>
      </c>
    </row>
    <row r="41">
      <c r="A41" s="18" t="s">
        <v>167</v>
      </c>
      <c r="B41" s="6" t="s">
        <v>81</v>
      </c>
      <c r="C41" s="12" t="s">
        <v>94</v>
      </c>
      <c r="D41" s="21">
        <v>19</v>
      </c>
      <c r="E41" s="12" t="s">
        <v>95</v>
      </c>
      <c r="F41" s="12">
        <v>11</v>
      </c>
    </row>
    <row r="42">
      <c r="A42" s="18" t="s">
        <v>168</v>
      </c>
      <c r="B42" s="2" t="s">
        <v>96</v>
      </c>
      <c r="C42" s="5" t="s">
        <v>97</v>
      </c>
      <c r="D42" s="22">
        <v>20</v>
      </c>
      <c r="E42" s="5" t="s">
        <v>98</v>
      </c>
      <c r="F42" s="5">
        <v>7</v>
      </c>
    </row>
    <row r="43">
      <c r="A43" s="18" t="s">
        <v>169</v>
      </c>
      <c r="B43" s="2" t="s">
        <v>99</v>
      </c>
      <c r="C43" s="5" t="s">
        <v>100</v>
      </c>
      <c r="D43" s="19">
        <v>21</v>
      </c>
      <c r="E43" s="5" t="s">
        <v>101</v>
      </c>
      <c r="F43" s="5">
        <v>7</v>
      </c>
    </row>
    <row r="44">
      <c r="A44" s="18" t="s">
        <v>169</v>
      </c>
      <c r="B44" s="6" t="s">
        <v>99</v>
      </c>
      <c r="C44" s="8" t="s">
        <v>102</v>
      </c>
      <c r="D44" s="20">
        <v>21</v>
      </c>
      <c r="E44" s="8" t="s">
        <v>103</v>
      </c>
      <c r="F44" s="8">
        <v>7</v>
      </c>
    </row>
    <row r="45">
      <c r="A45" s="18" t="s">
        <v>169</v>
      </c>
      <c r="B45" s="6" t="s">
        <v>99</v>
      </c>
      <c r="C45" s="8" t="s">
        <v>104</v>
      </c>
      <c r="D45" s="20">
        <v>21</v>
      </c>
      <c r="E45" s="8" t="s">
        <v>105</v>
      </c>
      <c r="F45" s="8">
        <v>7</v>
      </c>
    </row>
    <row r="46">
      <c r="A46" s="18" t="s">
        <v>169</v>
      </c>
      <c r="B46" s="6" t="s">
        <v>99</v>
      </c>
      <c r="C46" s="8" t="s">
        <v>106</v>
      </c>
      <c r="D46" s="20">
        <v>21</v>
      </c>
      <c r="E46" s="8" t="s">
        <v>107</v>
      </c>
      <c r="F46" s="8">
        <v>7</v>
      </c>
    </row>
    <row r="47">
      <c r="A47" s="18" t="s">
        <v>169</v>
      </c>
      <c r="B47" s="6" t="s">
        <v>99</v>
      </c>
      <c r="C47" s="12" t="s">
        <v>108</v>
      </c>
      <c r="D47" s="21">
        <v>21</v>
      </c>
      <c r="E47" s="12" t="s">
        <v>109</v>
      </c>
      <c r="F47" s="12">
        <v>7</v>
      </c>
    </row>
    <row r="48">
      <c r="A48" s="8" t="s">
        <v>170</v>
      </c>
      <c r="B48" s="15" t="s">
        <v>110</v>
      </c>
      <c r="C48" s="16" t="s">
        <v>111</v>
      </c>
      <c r="D48" s="22">
        <v>22</v>
      </c>
      <c r="E48" s="16" t="s">
        <v>112</v>
      </c>
      <c r="F48" s="16">
        <v>8</v>
      </c>
    </row>
    <row r="49">
      <c r="A49" s="18" t="s">
        <v>171</v>
      </c>
      <c r="B49" s="2" t="s">
        <v>113</v>
      </c>
      <c r="C49" s="5" t="s">
        <v>114</v>
      </c>
      <c r="D49" s="19">
        <v>23</v>
      </c>
      <c r="E49" s="5" t="s">
        <v>115</v>
      </c>
      <c r="F49" s="5">
        <v>5</v>
      </c>
    </row>
    <row r="50">
      <c r="A50" s="18" t="s">
        <v>171</v>
      </c>
      <c r="B50" s="9" t="s">
        <v>113</v>
      </c>
      <c r="C50" s="12" t="s">
        <v>116</v>
      </c>
      <c r="D50" s="21">
        <v>23</v>
      </c>
      <c r="E50" s="12" t="s">
        <v>117</v>
      </c>
      <c r="F50" s="12">
        <v>5</v>
      </c>
    </row>
    <row r="51">
      <c r="A51" s="18" t="s">
        <v>172</v>
      </c>
      <c r="B51" s="2" t="s">
        <v>118</v>
      </c>
      <c r="C51" s="5" t="s">
        <v>119</v>
      </c>
      <c r="D51" s="19">
        <v>24</v>
      </c>
      <c r="E51" s="5" t="s">
        <v>120</v>
      </c>
      <c r="F51" s="5">
        <v>8</v>
      </c>
    </row>
    <row r="52">
      <c r="A52" s="18" t="s">
        <v>172</v>
      </c>
      <c r="B52" s="6" t="s">
        <v>118</v>
      </c>
      <c r="C52" s="8" t="s">
        <v>121</v>
      </c>
      <c r="D52" s="21">
        <v>24</v>
      </c>
      <c r="E52" s="8" t="s">
        <v>122</v>
      </c>
      <c r="F52" s="8">
        <v>8</v>
      </c>
    </row>
    <row r="53">
      <c r="A53" s="18" t="s">
        <v>173</v>
      </c>
      <c r="B53" s="6" t="s">
        <v>118</v>
      </c>
      <c r="C53" s="8" t="s">
        <v>123</v>
      </c>
      <c r="D53" s="22">
        <v>25</v>
      </c>
      <c r="E53" s="8" t="s">
        <v>124</v>
      </c>
      <c r="F53" s="8">
        <v>10</v>
      </c>
    </row>
    <row r="54">
      <c r="A54" s="18" t="s">
        <v>174</v>
      </c>
      <c r="B54" s="6" t="s">
        <v>118</v>
      </c>
      <c r="C54" s="12" t="s">
        <v>125</v>
      </c>
      <c r="D54" s="22">
        <v>26</v>
      </c>
      <c r="E54" s="12" t="s">
        <v>126</v>
      </c>
      <c r="F54" s="12">
        <v>15</v>
      </c>
    </row>
    <row r="55">
      <c r="A55" s="8" t="s">
        <v>175</v>
      </c>
      <c r="B55" s="15" t="s">
        <v>127</v>
      </c>
      <c r="C55" s="16" t="s">
        <v>128</v>
      </c>
      <c r="D55" s="22">
        <v>27</v>
      </c>
      <c r="E55" s="16" t="s">
        <v>129</v>
      </c>
      <c r="F55" s="16">
        <v>10</v>
      </c>
    </row>
    <row r="56">
      <c r="A56" s="18" t="s">
        <v>176</v>
      </c>
      <c r="B56" s="2" t="s">
        <v>130</v>
      </c>
      <c r="C56" s="5" t="s">
        <v>131</v>
      </c>
      <c r="D56" s="19">
        <v>28</v>
      </c>
      <c r="E56" s="5" t="s">
        <v>132</v>
      </c>
      <c r="F56" s="5">
        <v>8</v>
      </c>
    </row>
    <row r="57">
      <c r="A57" s="18" t="s">
        <v>176</v>
      </c>
      <c r="B57" s="6" t="s">
        <v>130</v>
      </c>
      <c r="C57" s="8" t="s">
        <v>133</v>
      </c>
      <c r="D57" s="20">
        <v>28</v>
      </c>
      <c r="E57" s="8" t="s">
        <v>134</v>
      </c>
      <c r="F57" s="8">
        <v>8</v>
      </c>
    </row>
    <row r="58">
      <c r="A58" s="18" t="s">
        <v>176</v>
      </c>
      <c r="B58" s="6" t="s">
        <v>130</v>
      </c>
      <c r="C58" s="8" t="s">
        <v>135</v>
      </c>
      <c r="D58" s="20">
        <v>28</v>
      </c>
      <c r="E58" s="8" t="s">
        <v>136</v>
      </c>
      <c r="F58" s="8">
        <v>8</v>
      </c>
    </row>
    <row r="59">
      <c r="A59" s="18" t="s">
        <v>176</v>
      </c>
      <c r="B59" s="6" t="s">
        <v>130</v>
      </c>
      <c r="C59" s="8" t="s">
        <v>137</v>
      </c>
      <c r="D59" s="20">
        <v>28</v>
      </c>
      <c r="E59" s="8" t="s">
        <v>138</v>
      </c>
      <c r="F59" s="8">
        <v>8</v>
      </c>
    </row>
    <row r="60">
      <c r="A60" s="18" t="s">
        <v>176</v>
      </c>
      <c r="B60" s="9" t="s">
        <v>130</v>
      </c>
      <c r="C60" s="12" t="s">
        <v>139</v>
      </c>
      <c r="D60" s="21">
        <v>28</v>
      </c>
      <c r="E60" s="12" t="s">
        <v>140</v>
      </c>
      <c r="F60" s="12">
        <v>8</v>
      </c>
    </row>
    <row r="61">
      <c r="A61" s="18" t="s">
        <v>177</v>
      </c>
      <c r="B61" s="2" t="s">
        <v>141</v>
      </c>
      <c r="C61" s="5" t="s">
        <v>142</v>
      </c>
      <c r="D61" s="22">
        <v>29</v>
      </c>
      <c r="E61" s="5" t="s">
        <v>143</v>
      </c>
      <c r="F61" s="5">
        <v>15</v>
      </c>
    </row>
    <row r="62">
      <c r="A62" s="18" t="s">
        <v>178</v>
      </c>
      <c r="B62" s="6" t="s">
        <v>141</v>
      </c>
      <c r="C62" s="8" t="s">
        <v>144</v>
      </c>
      <c r="D62" s="22">
        <v>30</v>
      </c>
      <c r="E62" s="8" t="s">
        <v>145</v>
      </c>
      <c r="F62" s="8">
        <v>15</v>
      </c>
    </row>
    <row r="63">
      <c r="A63" s="18" t="s">
        <v>179</v>
      </c>
      <c r="B63" s="9" t="s">
        <v>141</v>
      </c>
      <c r="C63" s="12" t="s">
        <v>146</v>
      </c>
      <c r="D63" s="22">
        <v>31</v>
      </c>
      <c r="E63" s="12" t="s">
        <v>147</v>
      </c>
      <c r="F63" s="12">
        <v>15</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12.130000000000001"/>
    <col customWidth="1" min="2" max="3" width="20.879999999999999"/>
    <col customWidth="1" min="4" max="4" width="38.75"/>
  </cols>
  <sheetData>
    <row r="1">
      <c r="A1" s="23" t="s">
        <v>180</v>
      </c>
      <c r="B1" s="24" t="s">
        <v>1</v>
      </c>
      <c r="C1" s="24" t="s">
        <v>149</v>
      </c>
      <c r="D1" s="24" t="s">
        <v>2</v>
      </c>
      <c r="E1" s="25" t="s">
        <v>3</v>
      </c>
    </row>
    <row r="2">
      <c r="A2" s="26" t="s">
        <v>181</v>
      </c>
      <c r="B2" s="26" t="s">
        <v>182</v>
      </c>
      <c r="C2" s="26">
        <v>32</v>
      </c>
      <c r="D2" s="27" t="s">
        <v>183</v>
      </c>
      <c r="E2" s="26">
        <v>3.5</v>
      </c>
    </row>
    <row r="3">
      <c r="A3" s="26" t="s">
        <v>184</v>
      </c>
      <c r="B3" s="26" t="s">
        <v>185</v>
      </c>
      <c r="C3" s="26">
        <v>33</v>
      </c>
      <c r="D3" s="27" t="s">
        <v>186</v>
      </c>
      <c r="E3" s="26">
        <v>2</v>
      </c>
    </row>
    <row r="4">
      <c r="A4" s="26" t="s">
        <v>187</v>
      </c>
      <c r="B4" s="27" t="s">
        <v>188</v>
      </c>
      <c r="C4" s="26">
        <v>34</v>
      </c>
      <c r="D4" s="27" t="s">
        <v>189</v>
      </c>
      <c r="E4" s="26">
        <v>3</v>
      </c>
    </row>
    <row r="5">
      <c r="A5" s="26" t="s">
        <v>190</v>
      </c>
      <c r="B5" s="27" t="s">
        <v>191</v>
      </c>
      <c r="C5" s="26">
        <v>35</v>
      </c>
      <c r="D5" s="27" t="s">
        <v>192</v>
      </c>
      <c r="E5" s="26">
        <v>2</v>
      </c>
    </row>
    <row r="6">
      <c r="A6" s="26" t="s">
        <v>193</v>
      </c>
      <c r="B6" s="27" t="s">
        <v>194</v>
      </c>
      <c r="C6" s="26">
        <v>36</v>
      </c>
      <c r="D6" s="27" t="s">
        <v>195</v>
      </c>
      <c r="E6" s="26">
        <v>1</v>
      </c>
    </row>
    <row r="7">
      <c r="A7" s="26" t="s">
        <v>196</v>
      </c>
      <c r="B7" s="27" t="s">
        <v>197</v>
      </c>
      <c r="C7" s="26">
        <v>37</v>
      </c>
      <c r="D7" s="27" t="s">
        <v>198</v>
      </c>
      <c r="E7" s="26">
        <v>3</v>
      </c>
    </row>
    <row r="8">
      <c r="A8" s="26" t="s">
        <v>199</v>
      </c>
      <c r="B8" s="27" t="s">
        <v>200</v>
      </c>
      <c r="C8" s="26">
        <v>38</v>
      </c>
      <c r="D8" s="27" t="s">
        <v>201</v>
      </c>
      <c r="E8" s="26">
        <v>6</v>
      </c>
    </row>
    <row r="9">
      <c r="A9" s="26" t="s">
        <v>202</v>
      </c>
      <c r="B9" s="27" t="s">
        <v>203</v>
      </c>
      <c r="C9" s="26">
        <v>39</v>
      </c>
      <c r="D9" s="27" t="s">
        <v>204</v>
      </c>
      <c r="E9" s="26">
        <v>3.5</v>
      </c>
    </row>
    <row r="10">
      <c r="A10" s="26" t="s">
        <v>205</v>
      </c>
      <c r="B10" s="27" t="s">
        <v>206</v>
      </c>
      <c r="C10" s="26">
        <v>40</v>
      </c>
      <c r="D10" s="27" t="s">
        <v>207</v>
      </c>
      <c r="E10" s="26">
        <v>4</v>
      </c>
    </row>
    <row r="11">
      <c r="A11" s="27" t="s">
        <v>208</v>
      </c>
      <c r="B11" s="28" t="s">
        <v>209</v>
      </c>
      <c r="C11" s="26">
        <v>41</v>
      </c>
      <c r="D11" s="27" t="s">
        <v>210</v>
      </c>
      <c r="E11" s="26">
        <v>4</v>
      </c>
    </row>
    <row r="12">
      <c r="A12" s="27" t="s">
        <v>211</v>
      </c>
      <c r="B12" s="26" t="s">
        <v>212</v>
      </c>
      <c r="C12" s="26">
        <v>42</v>
      </c>
      <c r="D12" s="27" t="s">
        <v>213</v>
      </c>
      <c r="E12" s="26">
        <v>2</v>
      </c>
    </row>
    <row r="13">
      <c r="A13" s="27" t="s">
        <v>214</v>
      </c>
      <c r="B13" s="26" t="s">
        <v>215</v>
      </c>
      <c r="C13" s="26">
        <v>43</v>
      </c>
      <c r="D13" s="27" t="s">
        <v>216</v>
      </c>
      <c r="E13" s="26">
        <v>1</v>
      </c>
    </row>
    <row r="14">
      <c r="A14" s="26" t="s">
        <v>217</v>
      </c>
      <c r="B14" s="26" t="s">
        <v>218</v>
      </c>
      <c r="C14" s="26">
        <v>44</v>
      </c>
      <c r="D14" s="27" t="s">
        <v>219</v>
      </c>
      <c r="E14" s="26">
        <v>2.5</v>
      </c>
    </row>
    <row r="15">
      <c r="A15" s="26" t="s">
        <v>220</v>
      </c>
      <c r="B15" s="26" t="s">
        <v>221</v>
      </c>
      <c r="C15" s="26">
        <v>45</v>
      </c>
      <c r="D15" s="27" t="s">
        <v>222</v>
      </c>
      <c r="E15" s="26">
        <v>1</v>
      </c>
    </row>
    <row r="16">
      <c r="A16" s="26" t="s">
        <v>223</v>
      </c>
      <c r="B16" s="26" t="s">
        <v>224</v>
      </c>
      <c r="C16" s="26">
        <v>46</v>
      </c>
      <c r="D16" s="26" t="s">
        <v>225</v>
      </c>
      <c r="E16" s="26">
        <v>1</v>
      </c>
    </row>
    <row r="17">
      <c r="A17" s="26" t="s">
        <v>226</v>
      </c>
      <c r="B17" s="26" t="s">
        <v>227</v>
      </c>
      <c r="C17" s="26">
        <v>47</v>
      </c>
      <c r="D17" s="27" t="s">
        <v>228</v>
      </c>
      <c r="E17" s="26">
        <v>2</v>
      </c>
    </row>
    <row r="18">
      <c r="A18" s="27" t="s">
        <v>229</v>
      </c>
      <c r="B18" s="26" t="s">
        <v>230</v>
      </c>
      <c r="C18" s="26">
        <v>48</v>
      </c>
      <c r="D18" s="27" t="s">
        <v>231</v>
      </c>
      <c r="E18" s="26">
        <v>3</v>
      </c>
    </row>
    <row r="19">
      <c r="A19" s="27" t="s">
        <v>232</v>
      </c>
      <c r="B19" s="26" t="s">
        <v>233</v>
      </c>
      <c r="C19" s="26">
        <v>49</v>
      </c>
      <c r="D19" s="27" t="s">
        <v>234</v>
      </c>
      <c r="E19" s="26">
        <v>2.5</v>
      </c>
    </row>
    <row r="20">
      <c r="A20" s="27" t="s">
        <v>235</v>
      </c>
      <c r="B20" s="26" t="s">
        <v>236</v>
      </c>
      <c r="C20" s="26">
        <v>50</v>
      </c>
      <c r="D20" s="27" t="s">
        <v>237</v>
      </c>
      <c r="E20" s="26">
        <v>2</v>
      </c>
    </row>
    <row r="21">
      <c r="A21" s="26" t="s">
        <v>238</v>
      </c>
      <c r="B21" s="26" t="s">
        <v>239</v>
      </c>
      <c r="C21" s="26">
        <v>51</v>
      </c>
      <c r="D21" s="27" t="s">
        <v>240</v>
      </c>
      <c r="E21" s="26">
        <v>1</v>
      </c>
    </row>
    <row r="22">
      <c r="A22" s="27" t="s">
        <v>241</v>
      </c>
      <c r="B22" s="26" t="s">
        <v>242</v>
      </c>
      <c r="C22" s="26">
        <v>52</v>
      </c>
      <c r="D22" s="27" t="s">
        <v>243</v>
      </c>
      <c r="E22" s="26">
        <v>11</v>
      </c>
    </row>
    <row r="23">
      <c r="A23" s="27" t="s">
        <v>244</v>
      </c>
      <c r="B23" s="27" t="s">
        <v>244</v>
      </c>
      <c r="C23" s="26">
        <v>53</v>
      </c>
      <c r="D23" s="27" t="s">
        <v>245</v>
      </c>
      <c r="E23" s="26">
        <v>3.5</v>
      </c>
    </row>
    <row r="24">
      <c r="A24" s="27" t="s">
        <v>246</v>
      </c>
      <c r="B24" s="26" t="s">
        <v>247</v>
      </c>
      <c r="C24" s="26">
        <v>54</v>
      </c>
      <c r="D24" s="27" t="s">
        <v>248</v>
      </c>
      <c r="E24" s="26">
        <v>1.5</v>
      </c>
    </row>
    <row r="25">
      <c r="A25" s="27" t="s">
        <v>249</v>
      </c>
      <c r="B25" s="26" t="s">
        <v>250</v>
      </c>
      <c r="C25" s="26">
        <v>55</v>
      </c>
      <c r="D25" s="27" t="s">
        <v>251</v>
      </c>
      <c r="E25" s="26">
        <v>0.5</v>
      </c>
    </row>
    <row r="26">
      <c r="A26" s="27" t="s">
        <v>252</v>
      </c>
      <c r="B26" s="26" t="s">
        <v>253</v>
      </c>
      <c r="C26" s="26">
        <v>56</v>
      </c>
      <c r="D26" s="27" t="s">
        <v>254</v>
      </c>
      <c r="E26" s="26">
        <v>1</v>
      </c>
    </row>
    <row r="27">
      <c r="A27" s="27" t="s">
        <v>255</v>
      </c>
      <c r="B27" s="27" t="s">
        <v>255</v>
      </c>
      <c r="C27" s="26">
        <v>57</v>
      </c>
      <c r="D27" s="27" t="s">
        <v>256</v>
      </c>
      <c r="E27" s="26">
        <v>3</v>
      </c>
    </row>
    <row r="28">
      <c r="A28" s="26" t="s">
        <v>257</v>
      </c>
      <c r="B28" s="26" t="s">
        <v>258</v>
      </c>
      <c r="C28" s="26">
        <v>58</v>
      </c>
      <c r="D28" s="27" t="s">
        <v>259</v>
      </c>
      <c r="E28" s="26">
        <v>4.5</v>
      </c>
    </row>
    <row r="29">
      <c r="A29" s="26" t="s">
        <v>260</v>
      </c>
      <c r="B29" s="27" t="s">
        <v>260</v>
      </c>
      <c r="C29" s="26">
        <v>59</v>
      </c>
      <c r="D29" s="27" t="s">
        <v>261</v>
      </c>
      <c r="E29" s="26">
        <v>0.5</v>
      </c>
    </row>
    <row r="30">
      <c r="A30" s="27" t="s">
        <v>262</v>
      </c>
      <c r="B30" s="26" t="s">
        <v>263</v>
      </c>
      <c r="C30" s="26">
        <v>60</v>
      </c>
      <c r="D30" s="27" t="s">
        <v>264</v>
      </c>
      <c r="E30" s="26">
        <v>3</v>
      </c>
    </row>
    <row r="31">
      <c r="A31" s="26" t="s">
        <v>265</v>
      </c>
      <c r="B31" s="26" t="s">
        <v>266</v>
      </c>
      <c r="C31" s="26">
        <v>61</v>
      </c>
      <c r="D31" s="27" t="s">
        <v>267</v>
      </c>
      <c r="E31" s="26">
        <v>1</v>
      </c>
    </row>
    <row r="32">
      <c r="A32" s="27" t="s">
        <v>268</v>
      </c>
      <c r="B32" s="26" t="s">
        <v>269</v>
      </c>
      <c r="C32" s="26">
        <v>62</v>
      </c>
      <c r="D32" s="27" t="s">
        <v>270</v>
      </c>
      <c r="E32" s="26">
        <v>1</v>
      </c>
    </row>
    <row r="33">
      <c r="A33" s="27" t="s">
        <v>271</v>
      </c>
      <c r="B33" s="27" t="s">
        <v>271</v>
      </c>
      <c r="C33" s="26">
        <v>63</v>
      </c>
      <c r="D33" s="27" t="s">
        <v>272</v>
      </c>
      <c r="E33" s="28">
        <v>3</v>
      </c>
    </row>
    <row r="35">
      <c r="D35" s="29"/>
    </row>
    <row r="36">
      <c r="D36" s="29"/>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18.879999999999999"/>
    <col customWidth="1" min="2" max="2" width="14"/>
    <col customWidth="1" min="4" max="4" width="25.629999999999999"/>
    <col customWidth="1" min="5" max="5" width="18.629999999999999"/>
    <col customWidth="1" min="6" max="6" width="20.75"/>
  </cols>
  <sheetData>
    <row r="1">
      <c r="A1" s="23" t="s">
        <v>180</v>
      </c>
      <c r="B1" s="24" t="s">
        <v>1</v>
      </c>
      <c r="C1" s="24" t="s">
        <v>149</v>
      </c>
      <c r="D1" s="24" t="s">
        <v>2</v>
      </c>
      <c r="E1" s="25" t="s">
        <v>3</v>
      </c>
      <c r="F1" s="30" t="s">
        <v>273</v>
      </c>
    </row>
    <row r="2">
      <c r="A2" s="31" t="s">
        <v>274</v>
      </c>
      <c r="B2" s="32" t="s">
        <v>274</v>
      </c>
      <c r="C2" s="26">
        <v>64</v>
      </c>
      <c r="D2" s="26" t="s">
        <v>275</v>
      </c>
      <c r="E2" s="33">
        <v>7</v>
      </c>
      <c r="F2" s="28" t="s">
        <v>276</v>
      </c>
    </row>
    <row r="3">
      <c r="A3" s="34" t="s">
        <v>277</v>
      </c>
      <c r="B3" s="35"/>
      <c r="C3" s="34">
        <v>65</v>
      </c>
      <c r="D3" s="34" t="s">
        <v>278</v>
      </c>
      <c r="E3" s="34">
        <v>2</v>
      </c>
      <c r="F3" s="34" t="s">
        <v>279</v>
      </c>
    </row>
  </sheetData>
  <hyperlinks>
    <hyperlink r:id="rId1" ref="B2"/>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18.879999999999999"/>
    <col customWidth="1" min="2" max="2" width="14"/>
    <col customWidth="1" min="4" max="4" width="25.629999999999999"/>
    <col customWidth="1" min="5" max="5" width="18.629999999999999"/>
    <col customWidth="1" min="6" max="6" width="20.75"/>
  </cols>
  <sheetData>
    <row r="1">
      <c r="A1" s="23" t="s">
        <v>180</v>
      </c>
      <c r="B1" s="24" t="s">
        <v>1</v>
      </c>
      <c r="C1" s="24" t="s">
        <v>149</v>
      </c>
      <c r="D1" s="24" t="s">
        <v>2</v>
      </c>
      <c r="E1" s="25" t="s">
        <v>3</v>
      </c>
      <c r="F1" s="30" t="s">
        <v>273</v>
      </c>
    </row>
    <row r="2">
      <c r="A2" s="26" t="s">
        <v>280</v>
      </c>
      <c r="B2" s="26" t="s">
        <v>280</v>
      </c>
      <c r="C2" s="26">
        <v>66</v>
      </c>
      <c r="D2" s="27" t="s">
        <v>281</v>
      </c>
      <c r="E2" s="26">
        <v>2</v>
      </c>
      <c r="F2" s="27" t="s">
        <v>282</v>
      </c>
    </row>
    <row r="3">
      <c r="A3" s="26" t="s">
        <v>283</v>
      </c>
      <c r="B3" s="26" t="s">
        <v>284</v>
      </c>
      <c r="C3" s="26">
        <v>67</v>
      </c>
      <c r="D3" s="27" t="s">
        <v>285</v>
      </c>
      <c r="E3" s="26">
        <v>2</v>
      </c>
      <c r="F3" s="27" t="s">
        <v>286</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ySplit="1" topLeftCell="A2" activePane="bottomLeft" state="frozen"/>
      <selection activeCell="B3" activeCellId="0" sqref="B3"/>
    </sheetView>
  </sheetViews>
  <sheetFormatPr defaultColWidth="12.630000000000001" defaultRowHeight="15.75" customHeight="1"/>
  <cols>
    <col customWidth="1" min="2" max="2" width="5.8799999999999999"/>
    <col customWidth="1" min="3" max="3" width="6.8799999999999999"/>
    <col customWidth="1" min="7" max="16" width="10"/>
  </cols>
  <sheetData>
    <row r="1">
      <c r="A1" s="36" t="s">
        <v>180</v>
      </c>
      <c r="B1" s="36" t="s">
        <v>287</v>
      </c>
      <c r="C1" s="37" t="s">
        <v>288</v>
      </c>
      <c r="D1" s="36" t="s">
        <v>287</v>
      </c>
      <c r="E1" s="36" t="s">
        <v>288</v>
      </c>
      <c r="F1" s="36" t="s">
        <v>289</v>
      </c>
      <c r="G1" s="36" t="s">
        <v>290</v>
      </c>
    </row>
    <row r="2">
      <c r="A2" s="38" t="s">
        <v>291</v>
      </c>
      <c r="B2" s="38">
        <v>1</v>
      </c>
      <c r="C2" s="39">
        <v>1</v>
      </c>
      <c r="D2" s="38">
        <v>1</v>
      </c>
      <c r="E2" s="40">
        <f t="shared" ref="E2:E11" si="0">SUMIF($B$2:$B$80, "="&amp;D2,$C$2:$C$80)</f>
        <v>69</v>
      </c>
      <c r="F2" s="40">
        <f t="shared" ref="F2:F11" si="1">Round(E2/60,2)</f>
        <v>1.1499999999999999</v>
      </c>
      <c r="G2" s="41" t="str">
        <f>TRANSPOSE(FILTER(A$2:A80, B$2:B80=$D2))"),"who5_g62</f>
        <v>who5_g62</v>
      </c>
      <c r="H2" s="41" t="str">
        <f>"COMPUTED_VALUE""),"NB_g11</f>
        <v>NB_g11</v>
      </c>
      <c r="I2" s="41" t="str">
        <f>"COMPUTED_VALUE""),"mmi_sf_g53</f>
        <v>mmi_sf_g53</v>
      </c>
      <c r="J2" s="41" t="str">
        <f>"COMPUTED_VALUE""),"SMC_g19</f>
        <v>SMC_g19</v>
      </c>
      <c r="K2" s="41" t="str">
        <f>"COMPUTED_VALUE""),"TH_g25</f>
        <v>TH_g25</v>
      </c>
    </row>
    <row r="3">
      <c r="A3" s="38" t="s">
        <v>292</v>
      </c>
      <c r="B3" s="38">
        <v>1</v>
      </c>
      <c r="C3" s="39">
        <v>32</v>
      </c>
      <c r="D3" s="38">
        <v>2</v>
      </c>
      <c r="E3" s="40">
        <f t="shared" si="0"/>
        <v>67</v>
      </c>
      <c r="F3" s="40">
        <f t="shared" si="1"/>
        <v>1.1200000000000001</v>
      </c>
      <c r="G3" s="41" t="str">
        <f>TRANSPOSE(FILTER(A$2:A80, B$2:B80=$D3))"),"mindset_g51</f>
        <v>mindset_g51</v>
      </c>
      <c r="H3" s="41" t="str">
        <f>"COMPUTED_VALUE""),"xcit_typing_g63</f>
        <v>xcit_typing_g63</v>
      </c>
      <c r="I3" s="41" t="str">
        <f>"COMPUTED_VALUE""),"MOT_g9</f>
        <v>MOT_g9</v>
      </c>
      <c r="J3" s="41" t="str">
        <f>"COMPUTED_VALUE""),"mfs_g50</f>
        <v>mfs_g50</v>
      </c>
      <c r="K3" s="41" t="str">
        <f>"COMPUTED_VALUE""),"TH_g26</f>
        <v>TH_g26</v>
      </c>
      <c r="L3" s="41" t="str">
        <f>"COMPUTED_VALUE""),"SMC_g18</f>
        <v>SMC_g18</v>
      </c>
      <c r="M3" s="41" t="str">
        <f>"COMPUTED_VALUE""),"TOVA_g27</f>
        <v>TOVA_g27</v>
      </c>
    </row>
    <row r="4">
      <c r="A4" s="38" t="s">
        <v>293</v>
      </c>
      <c r="B4" s="38">
        <v>1</v>
      </c>
      <c r="C4" s="39">
        <v>4</v>
      </c>
      <c r="D4" s="38">
        <v>3</v>
      </c>
      <c r="E4" s="40">
        <f t="shared" si="0"/>
        <v>67</v>
      </c>
      <c r="F4" s="40">
        <f t="shared" si="1"/>
        <v>1.1200000000000001</v>
      </c>
      <c r="G4" s="41" t="str">
        <f>TRANSPOSE(FILTER(A$2:A80, B$2:B80=$D4))"),"webexec_g61</f>
        <v>webexec_g61</v>
      </c>
      <c r="H4" s="41" t="str">
        <f>"COMPUTED_VALUE""),"mw_g54</f>
        <v>mw_g54</v>
      </c>
      <c r="I4" s="41" t="str">
        <f>"COMPUTED_VALUE""),"ipaq_sf_g48</f>
        <v>ipaq_sf_g48</v>
      </c>
      <c r="J4" s="41" t="str">
        <f>"COMPUTED_VALUE""),"SART_g17</f>
        <v>SART_g17</v>
      </c>
      <c r="K4" s="41" t="str">
        <f>"COMPUTED_VALUE""),"PC_g14</f>
        <v>PC_g14</v>
      </c>
      <c r="L4" s="41" t="str">
        <f>"COMPUTED_VALUE""),"ncs_6_g56</f>
        <v>ncs_6_g56</v>
      </c>
      <c r="M4" s="41" t="str">
        <f>"COMPUTED_VALUE""),"erq_g44</f>
        <v>erq_g44</v>
      </c>
      <c r="N4" s="41" t="str">
        <f>"COMPUTED_VALUE""),"bisbas_g40</f>
        <v>bisbas_g40</v>
      </c>
      <c r="O4" s="41" t="str">
        <f>"COMPUTED_VALUE""),"BCS_g1</f>
        <v>BCS_g1</v>
      </c>
      <c r="P4" s="41" t="str">
        <f>"COMPUTED_VALUE""),"i_panas_sf_g47</f>
        <v>i_panas_sf_g47</v>
      </c>
    </row>
    <row r="5">
      <c r="A5" s="38" t="s">
        <v>294</v>
      </c>
      <c r="B5" s="38">
        <v>1</v>
      </c>
      <c r="C5" s="39">
        <v>22</v>
      </c>
      <c r="D5" s="38">
        <v>4</v>
      </c>
      <c r="E5" s="40">
        <f t="shared" si="0"/>
        <v>68</v>
      </c>
      <c r="F5" s="40">
        <f t="shared" si="1"/>
        <v>1.1299999999999999</v>
      </c>
      <c r="G5" s="41" t="str">
        <f>TRANSPOSE(FILTER(A$2:A80, B$2:B80=$D5))"),"cfs_g42</f>
        <v>cfs_g42</v>
      </c>
      <c r="H5" s="41" t="str">
        <f>"COMPUTED_VALUE""),"WO_g29</f>
        <v>WO_g29</v>
      </c>
      <c r="I5" s="41" t="str">
        <f>"COMPUTED_VALUE""),"sss_g59</f>
        <v>sss_g59</v>
      </c>
      <c r="J5" s="41" t="str">
        <f>"COMPUTED_VALUE""),"RE_g16</f>
        <v>RE_g16</v>
      </c>
    </row>
    <row r="6">
      <c r="A6" s="38" t="s">
        <v>295</v>
      </c>
      <c r="B6" s="38">
        <v>1</v>
      </c>
      <c r="C6" s="39">
        <v>10</v>
      </c>
      <c r="D6" s="38">
        <v>5</v>
      </c>
      <c r="E6" s="40">
        <f t="shared" si="0"/>
        <v>68</v>
      </c>
      <c r="F6" s="40">
        <f t="shared" si="1"/>
        <v>1.1299999999999999</v>
      </c>
      <c r="G6" s="41" t="str">
        <f>TRANSPOSE(FILTER(A$2:A80, B$2:B80=$D6))"),"bfi2_g38</f>
        <v>bfi2_g38</v>
      </c>
      <c r="H6" s="41" t="str">
        <f>"COMPUTED_VALUE""),"aiss_g34</f>
        <v>aiss_g34</v>
      </c>
      <c r="I6" s="41" t="str">
        <f>"COMPUTED_VALUE""),"DS_g7</f>
        <v>DS_g7</v>
      </c>
      <c r="J6" s="41" t="str">
        <f>"COMPUTED_VALUE""),"SRT_g22</f>
        <v>SRT_g22</v>
      </c>
      <c r="K6" s="41" t="str">
        <f>"COMPUTED_VALUE""),"WO_g31</f>
        <v>WO_g31</v>
      </c>
      <c r="L6" s="41" t="str">
        <f>"COMPUTED_VALUE""),"BSAC_g4</f>
        <v>BSAC_g4</v>
      </c>
    </row>
    <row r="7">
      <c r="C7" s="42"/>
      <c r="D7" s="38">
        <v>6</v>
      </c>
      <c r="E7" s="40">
        <f t="shared" si="0"/>
        <v>67</v>
      </c>
      <c r="F7" s="40">
        <f t="shared" si="1"/>
        <v>1.1200000000000001</v>
      </c>
      <c r="G7" s="41" t="str">
        <f>TRANSPOSE(FILTER(A$2:A80, B$2:B80=$D7))"),"maas_g49</f>
        <v>maas_g49</v>
      </c>
      <c r="H7" s="41" t="str">
        <f>"COMPUTED_VALUE""),"acs_g32</f>
        <v>acs_g32</v>
      </c>
      <c r="I7" s="41" t="str">
        <f>"COMPUTED_VALUE""),"BSAC_g3</f>
        <v>BSAC_g3</v>
      </c>
      <c r="J7" s="41" t="str">
        <f>"COMPUTED_VALUE""),"SS_g23</f>
        <v>SS_g23</v>
      </c>
      <c r="K7" s="41" t="str">
        <f>"COMPUTED_VALUE""),"bis11_g39</f>
        <v>bis11_g39</v>
      </c>
      <c r="L7" s="41" t="str">
        <f>"COMPUTED_VALUE""),"arces_g35</f>
        <v>arces_g35</v>
      </c>
      <c r="M7" s="41" t="str">
        <f>"COMPUTED_VALUE""),"OC_g12</f>
        <v>OC_g12</v>
      </c>
      <c r="N7" s="41" t="str">
        <f>"COMPUTED_VALUE""),"upps_sf_g60</f>
        <v>upps_sf_g60</v>
      </c>
    </row>
    <row r="8">
      <c r="A8" s="38" t="s">
        <v>296</v>
      </c>
      <c r="B8" s="38">
        <v>2</v>
      </c>
      <c r="C8" s="39">
        <v>1</v>
      </c>
      <c r="D8" s="38">
        <v>7</v>
      </c>
      <c r="E8" s="40">
        <f t="shared" si="0"/>
        <v>67</v>
      </c>
      <c r="F8" s="40">
        <f t="shared" si="1"/>
        <v>1.1200000000000001</v>
      </c>
      <c r="G8" s="41" t="str">
        <f>TRANSPOSE(FILTER(A$2:A80, B$2:B80=$D8))"),"BM_g2</f>
        <v>BM_g2</v>
      </c>
      <c r="H8" s="41" t="str">
        <f>"COMPUTED_VALUE""),"ehi_sf_g43</f>
        <v>ehi_sf_g43</v>
      </c>
      <c r="I8" s="41" t="str">
        <f>"COMPUTED_VALUE""),"rei_g58</f>
        <v>rei_g58</v>
      </c>
      <c r="J8" s="41" t="str">
        <f>"COMPUTED_VALUE""),"iam_g46</f>
        <v>iam_g46</v>
      </c>
      <c r="K8" s="41" t="str">
        <f>"COMPUTED_VALUE""),"BSAC_g6</f>
        <v>BSAC_g6</v>
      </c>
      <c r="L8" s="41" t="str">
        <f>"COMPUTED_VALUE""),"avgp_g37</f>
        <v>avgp_g37</v>
      </c>
      <c r="M8" s="41" t="str">
        <f>"COMPUTED_VALUE""),"ML_g8</f>
        <v>ML_g8</v>
      </c>
    </row>
    <row r="9">
      <c r="A9" s="38" t="s">
        <v>297</v>
      </c>
      <c r="B9" s="38">
        <v>2</v>
      </c>
      <c r="C9" s="39">
        <v>3</v>
      </c>
      <c r="D9" s="38">
        <v>8</v>
      </c>
      <c r="E9" s="40">
        <f t="shared" si="0"/>
        <v>68</v>
      </c>
      <c r="F9" s="40">
        <f t="shared" si="1"/>
        <v>1.1299999999999999</v>
      </c>
      <c r="G9" s="41" t="str">
        <f>TRANSPOSE(FILTER(A$2:A80, B$2:B80=$D9))"),"cfq_g41</f>
        <v>cfq_g41</v>
      </c>
      <c r="H9" s="41" t="str">
        <f>"COMPUTED_VALUE""),"mwq_g55</f>
        <v>mwq_g55</v>
      </c>
      <c r="I9" s="41" t="str">
        <f>"COMPUTED_VALUE""),"WO_g30</f>
        <v>WO_g30</v>
      </c>
      <c r="J9" s="41" t="str">
        <f>"COMPUTED_VALUE""),"OOO_g13</f>
        <v>OOO_g13</v>
      </c>
      <c r="K9" s="41" t="str">
        <f>"COMPUTED_VALUE""),"BSAC_g5</f>
        <v>BSAC_g5</v>
      </c>
      <c r="L9" s="41" t="str">
        <f>"COMPUTED_VALUE""),"MOT_g10</f>
        <v>MOT_g10</v>
      </c>
    </row>
    <row r="10">
      <c r="A10" s="38" t="s">
        <v>298</v>
      </c>
      <c r="B10" s="38">
        <v>2</v>
      </c>
      <c r="C10" s="39">
        <v>11</v>
      </c>
      <c r="D10" s="38">
        <v>9</v>
      </c>
      <c r="E10" s="40">
        <f t="shared" si="0"/>
        <v>69</v>
      </c>
      <c r="F10" s="40">
        <f t="shared" si="1"/>
        <v>1.1499999999999999</v>
      </c>
      <c r="G10" s="41" t="str">
        <f>TRANSPOSE(FILTER(A$2:A80, B$2:B80=$D10))"),"grit_g45</f>
        <v>grit_g45</v>
      </c>
      <c r="H10" s="41" t="str">
        <f>"COMPUTED_VALUE""),"adc_g33</f>
        <v>adc_g33</v>
      </c>
      <c r="I10" s="41" t="str">
        <f>"COMPUTED_VALUE""),"TH_g24</f>
        <v>TH_g24</v>
      </c>
      <c r="J10" s="41" t="str">
        <f>"COMPUTED_VALUE""),"SOS_g20</f>
        <v>SOS_g20</v>
      </c>
      <c r="K10" s="41" t="str">
        <f>"COMPUTED_VALUE""),"psqi_g57</f>
        <v>psqi_g57</v>
      </c>
      <c r="L10" s="41" t="str">
        <f>"COMPUTED_VALUE""),"UFOV_g28</f>
        <v>UFOV_g28</v>
      </c>
    </row>
    <row r="11">
      <c r="A11" s="38" t="s">
        <v>299</v>
      </c>
      <c r="B11" s="38">
        <v>2</v>
      </c>
      <c r="C11" s="39">
        <v>2</v>
      </c>
      <c r="D11" s="38">
        <v>10</v>
      </c>
      <c r="E11" s="40">
        <f t="shared" si="0"/>
        <v>67</v>
      </c>
      <c r="F11" s="40">
        <f t="shared" si="1"/>
        <v>1.1200000000000001</v>
      </c>
      <c r="G11" s="41" t="str">
        <f>TRANSPOSE(FILTER(A$2:A80, B$2:B80=$D11))"),"mmi_g52</f>
        <v>mmi_g52</v>
      </c>
      <c r="H11" s="41" t="str">
        <f>"COMPUTED_VALUE""),"asrs_g36</f>
        <v>asrs_g36</v>
      </c>
      <c r="I11" s="41" t="str">
        <f>"COMPUTED_VALUE""),"RE_g15</f>
        <v>RE_g15</v>
      </c>
      <c r="J11" s="41" t="str">
        <f>"COMPUTED_VALUE""),"SRM_g21</f>
        <v>SRM_g21</v>
      </c>
    </row>
    <row r="12">
      <c r="A12" s="38" t="s">
        <v>300</v>
      </c>
      <c r="B12" s="38">
        <v>2</v>
      </c>
      <c r="C12" s="39">
        <v>15</v>
      </c>
      <c r="F12" s="43"/>
    </row>
    <row r="13">
      <c r="A13" s="38" t="s">
        <v>301</v>
      </c>
      <c r="B13" s="38">
        <v>2</v>
      </c>
      <c r="C13" s="39">
        <v>25</v>
      </c>
      <c r="D13" s="44" t="s">
        <v>302</v>
      </c>
      <c r="E13" s="43">
        <f>sum(E2:E11)</f>
        <v>677</v>
      </c>
      <c r="F13" s="29">
        <f>Round(E13/60,2)</f>
        <v>11.279999999999999</v>
      </c>
    </row>
    <row r="14">
      <c r="A14" s="38" t="s">
        <v>303</v>
      </c>
      <c r="B14" s="38">
        <v>2</v>
      </c>
      <c r="C14" s="39">
        <v>10</v>
      </c>
    </row>
    <row r="15">
      <c r="C15" s="42"/>
      <c r="D15" s="41">
        <f>sum(C8:C14)</f>
        <v>67</v>
      </c>
      <c r="G15" s="29"/>
    </row>
    <row r="16">
      <c r="A16" s="38" t="s">
        <v>304</v>
      </c>
      <c r="B16" s="38">
        <v>3</v>
      </c>
      <c r="C16" s="39">
        <v>1</v>
      </c>
    </row>
    <row r="17">
      <c r="A17" s="38" t="s">
        <v>305</v>
      </c>
      <c r="B17" s="38">
        <v>3</v>
      </c>
      <c r="C17" s="39">
        <v>2</v>
      </c>
    </row>
    <row r="18">
      <c r="A18" s="38" t="s">
        <v>306</v>
      </c>
      <c r="B18" s="38">
        <v>3</v>
      </c>
      <c r="C18" s="39">
        <v>3</v>
      </c>
      <c r="D18" s="28"/>
      <c r="E18" s="28"/>
    </row>
    <row r="19">
      <c r="A19" s="38" t="s">
        <v>307</v>
      </c>
      <c r="B19" s="38">
        <v>3</v>
      </c>
      <c r="C19" s="39">
        <v>8</v>
      </c>
    </row>
    <row r="20">
      <c r="A20" s="38" t="s">
        <v>308</v>
      </c>
      <c r="B20" s="38">
        <v>3</v>
      </c>
      <c r="C20" s="39">
        <v>17</v>
      </c>
    </row>
    <row r="21">
      <c r="A21" s="38" t="s">
        <v>309</v>
      </c>
      <c r="B21" s="38">
        <v>3</v>
      </c>
      <c r="C21" s="39">
        <v>1</v>
      </c>
    </row>
    <row r="22">
      <c r="A22" s="38" t="s">
        <v>310</v>
      </c>
      <c r="B22" s="38">
        <v>3</v>
      </c>
      <c r="C22" s="39">
        <v>3</v>
      </c>
      <c r="G22" s="28"/>
      <c r="H22" s="28"/>
    </row>
    <row r="23">
      <c r="A23" s="38" t="s">
        <v>311</v>
      </c>
      <c r="B23" s="38">
        <v>3</v>
      </c>
      <c r="C23" s="39">
        <v>4</v>
      </c>
    </row>
    <row r="24">
      <c r="A24" s="38" t="s">
        <v>312</v>
      </c>
      <c r="B24" s="38">
        <v>3</v>
      </c>
      <c r="C24" s="39">
        <v>26</v>
      </c>
    </row>
    <row r="25">
      <c r="A25" s="38" t="s">
        <v>313</v>
      </c>
      <c r="B25" s="38">
        <v>3</v>
      </c>
      <c r="C25" s="39">
        <v>2</v>
      </c>
    </row>
    <row r="26">
      <c r="C26" s="42"/>
    </row>
    <row r="27">
      <c r="A27" s="38" t="s">
        <v>314</v>
      </c>
      <c r="B27" s="38">
        <v>4</v>
      </c>
      <c r="C27" s="39">
        <v>2</v>
      </c>
    </row>
    <row r="28">
      <c r="A28" s="38" t="s">
        <v>315</v>
      </c>
      <c r="B28" s="38">
        <v>4</v>
      </c>
      <c r="C28" s="39">
        <v>15</v>
      </c>
    </row>
    <row r="29">
      <c r="A29" s="38" t="s">
        <v>316</v>
      </c>
      <c r="B29" s="38">
        <v>4</v>
      </c>
      <c r="C29" s="39">
        <v>1</v>
      </c>
    </row>
    <row r="30">
      <c r="A30" s="38" t="s">
        <v>317</v>
      </c>
      <c r="B30" s="38">
        <v>4</v>
      </c>
      <c r="C30" s="39">
        <v>50</v>
      </c>
    </row>
    <row r="31">
      <c r="C31" s="42"/>
    </row>
    <row r="32">
      <c r="A32" s="38" t="s">
        <v>318</v>
      </c>
      <c r="B32" s="38">
        <v>5</v>
      </c>
      <c r="C32" s="39">
        <v>6</v>
      </c>
    </row>
    <row r="33">
      <c r="A33" s="38" t="s">
        <v>319</v>
      </c>
      <c r="B33" s="38">
        <v>5</v>
      </c>
      <c r="C33" s="39">
        <v>3</v>
      </c>
    </row>
    <row r="34">
      <c r="A34" s="38" t="s">
        <v>320</v>
      </c>
      <c r="B34" s="38">
        <v>5</v>
      </c>
      <c r="C34" s="39">
        <v>10</v>
      </c>
    </row>
    <row r="35">
      <c r="A35" s="38" t="s">
        <v>321</v>
      </c>
      <c r="B35" s="38">
        <v>5</v>
      </c>
      <c r="C35" s="39">
        <v>8</v>
      </c>
    </row>
    <row r="36">
      <c r="A36" s="38" t="s">
        <v>322</v>
      </c>
      <c r="B36" s="38">
        <v>5</v>
      </c>
      <c r="C36" s="39">
        <v>15</v>
      </c>
    </row>
    <row r="37">
      <c r="A37" s="38" t="s">
        <v>323</v>
      </c>
      <c r="B37" s="38">
        <v>5</v>
      </c>
      <c r="C37" s="39">
        <v>26</v>
      </c>
    </row>
    <row r="38">
      <c r="C38" s="42"/>
    </row>
    <row r="39">
      <c r="A39" s="38" t="s">
        <v>324</v>
      </c>
      <c r="B39" s="38">
        <v>6</v>
      </c>
      <c r="C39" s="39">
        <v>3</v>
      </c>
    </row>
    <row r="40">
      <c r="A40" s="38" t="s">
        <v>325</v>
      </c>
      <c r="B40" s="38">
        <v>6</v>
      </c>
      <c r="C40" s="39">
        <v>4</v>
      </c>
    </row>
    <row r="41">
      <c r="A41" s="38" t="s">
        <v>326</v>
      </c>
      <c r="B41" s="38">
        <v>6</v>
      </c>
      <c r="C41" s="39">
        <v>26</v>
      </c>
    </row>
    <row r="42">
      <c r="A42" s="38" t="s">
        <v>327</v>
      </c>
      <c r="B42" s="38">
        <v>6</v>
      </c>
      <c r="C42" s="39">
        <v>10</v>
      </c>
    </row>
    <row r="43">
      <c r="A43" s="38" t="s">
        <v>328</v>
      </c>
      <c r="B43" s="38">
        <v>6</v>
      </c>
      <c r="C43" s="39">
        <v>4</v>
      </c>
    </row>
    <row r="44">
      <c r="A44" s="38" t="s">
        <v>329</v>
      </c>
      <c r="B44" s="38">
        <v>6</v>
      </c>
      <c r="C44" s="39">
        <v>2</v>
      </c>
    </row>
    <row r="45">
      <c r="A45" s="38" t="s">
        <v>330</v>
      </c>
      <c r="B45" s="38">
        <v>6</v>
      </c>
      <c r="C45" s="39">
        <v>15</v>
      </c>
    </row>
    <row r="46">
      <c r="A46" s="38" t="s">
        <v>331</v>
      </c>
      <c r="B46" s="38">
        <v>6</v>
      </c>
      <c r="C46" s="39">
        <v>3</v>
      </c>
    </row>
    <row r="47">
      <c r="C47" s="42"/>
    </row>
    <row r="48">
      <c r="A48" s="38" t="s">
        <v>332</v>
      </c>
      <c r="B48" s="38">
        <v>7</v>
      </c>
      <c r="C48" s="39">
        <v>25</v>
      </c>
    </row>
    <row r="49">
      <c r="A49" s="38" t="s">
        <v>333</v>
      </c>
      <c r="B49" s="38">
        <v>7</v>
      </c>
      <c r="C49" s="39">
        <v>1</v>
      </c>
    </row>
    <row r="50">
      <c r="A50" s="38" t="s">
        <v>334</v>
      </c>
      <c r="B50" s="38">
        <v>7</v>
      </c>
      <c r="C50" s="39">
        <v>5</v>
      </c>
    </row>
    <row r="51">
      <c r="A51" s="38" t="s">
        <v>335</v>
      </c>
      <c r="B51" s="38">
        <v>7</v>
      </c>
      <c r="C51" s="39">
        <v>1</v>
      </c>
    </row>
    <row r="52">
      <c r="A52" s="38" t="s">
        <v>336</v>
      </c>
      <c r="B52" s="38">
        <v>7</v>
      </c>
      <c r="C52" s="39">
        <v>11</v>
      </c>
    </row>
    <row r="53">
      <c r="A53" s="38" t="s">
        <v>337</v>
      </c>
      <c r="B53" s="38">
        <v>7</v>
      </c>
      <c r="C53" s="39">
        <v>3</v>
      </c>
    </row>
    <row r="54">
      <c r="A54" s="38" t="s">
        <v>338</v>
      </c>
      <c r="B54" s="38">
        <v>7</v>
      </c>
      <c r="C54" s="39">
        <v>21</v>
      </c>
    </row>
    <row r="55">
      <c r="C55" s="42"/>
    </row>
    <row r="56">
      <c r="A56" s="38" t="s">
        <v>339</v>
      </c>
      <c r="B56" s="38">
        <v>8</v>
      </c>
      <c r="C56" s="39">
        <v>4</v>
      </c>
    </row>
    <row r="57">
      <c r="A57" s="38" t="s">
        <v>340</v>
      </c>
      <c r="B57" s="38">
        <v>8</v>
      </c>
      <c r="C57" s="39">
        <v>1</v>
      </c>
    </row>
    <row r="58">
      <c r="A58" s="38" t="s">
        <v>341</v>
      </c>
      <c r="B58" s="38">
        <v>8</v>
      </c>
      <c r="C58" s="39">
        <v>15</v>
      </c>
    </row>
    <row r="59">
      <c r="A59" s="38" t="s">
        <v>342</v>
      </c>
      <c r="B59" s="38">
        <v>8</v>
      </c>
      <c r="C59" s="39">
        <v>8</v>
      </c>
    </row>
    <row r="60">
      <c r="A60" s="38" t="s">
        <v>343</v>
      </c>
      <c r="B60" s="38">
        <v>8</v>
      </c>
      <c r="C60" s="39">
        <v>22</v>
      </c>
    </row>
    <row r="61">
      <c r="A61" s="38" t="s">
        <v>344</v>
      </c>
      <c r="B61" s="38">
        <v>8</v>
      </c>
      <c r="C61" s="39">
        <v>18</v>
      </c>
    </row>
    <row r="62">
      <c r="C62" s="42"/>
    </row>
    <row r="63">
      <c r="A63" s="38" t="s">
        <v>345</v>
      </c>
      <c r="B63" s="38">
        <v>9</v>
      </c>
      <c r="C63" s="39">
        <v>1</v>
      </c>
    </row>
    <row r="64">
      <c r="A64" s="38" t="s">
        <v>346</v>
      </c>
      <c r="B64" s="38">
        <v>9</v>
      </c>
      <c r="C64" s="39">
        <v>2</v>
      </c>
    </row>
    <row r="65">
      <c r="A65" s="38" t="s">
        <v>347</v>
      </c>
      <c r="B65" s="38">
        <v>9</v>
      </c>
      <c r="C65" s="39">
        <v>16</v>
      </c>
    </row>
    <row r="66">
      <c r="A66" s="38" t="s">
        <v>348</v>
      </c>
      <c r="B66" s="38">
        <v>9</v>
      </c>
      <c r="C66" s="39">
        <v>7</v>
      </c>
    </row>
    <row r="67">
      <c r="A67" s="38" t="s">
        <v>349</v>
      </c>
      <c r="B67" s="38">
        <v>9</v>
      </c>
      <c r="C67" s="39">
        <v>3</v>
      </c>
    </row>
    <row r="68">
      <c r="A68" s="38" t="s">
        <v>350</v>
      </c>
      <c r="B68" s="38">
        <v>9</v>
      </c>
      <c r="C68" s="39">
        <v>40</v>
      </c>
    </row>
    <row r="69">
      <c r="C69" s="42"/>
    </row>
    <row r="70">
      <c r="A70" s="38" t="s">
        <v>351</v>
      </c>
      <c r="B70" s="38">
        <v>10</v>
      </c>
      <c r="C70" s="39">
        <v>11</v>
      </c>
    </row>
    <row r="71">
      <c r="A71" s="38" t="s">
        <v>352</v>
      </c>
      <c r="B71" s="38">
        <v>10</v>
      </c>
      <c r="C71" s="39">
        <v>1</v>
      </c>
    </row>
    <row r="72">
      <c r="A72" s="38" t="s">
        <v>353</v>
      </c>
      <c r="B72" s="38">
        <v>10</v>
      </c>
      <c r="C72" s="39">
        <v>20</v>
      </c>
    </row>
    <row r="73">
      <c r="A73" s="38" t="s">
        <v>354</v>
      </c>
      <c r="B73" s="38">
        <v>10</v>
      </c>
      <c r="C73" s="39">
        <v>35</v>
      </c>
    </row>
    <row r="74">
      <c r="C74" s="42"/>
    </row>
    <row r="75">
      <c r="C75" s="42"/>
    </row>
    <row r="76">
      <c r="C76" s="42"/>
    </row>
    <row r="77">
      <c r="C77" s="42"/>
      <c r="D77" s="45">
        <f>SUM(C1:C80)</f>
        <v>677</v>
      </c>
    </row>
    <row r="78">
      <c r="C78" s="42"/>
    </row>
    <row r="79">
      <c r="C79" s="42"/>
    </row>
    <row r="80">
      <c r="C80" s="42"/>
    </row>
  </sheetData>
  <mergeCells count="1">
    <mergeCell ref="G1:P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beginsWith" priority="1" operator="beginsWith" text="NB" id="{00E60071-0068-487E-9E49-002900BF0002}">
            <xm:f>LEFT((G2),LEN("NB"))=("NB")</xm:f>
            <x14:dxf>
              <font/>
              <fill>
                <patternFill patternType="solid">
                  <fgColor rgb="FFFFF2CC"/>
                  <bgColor rgb="FFFFF2CC"/>
                </patternFill>
              </fill>
              <border>
                <left/>
                <right/>
                <top/>
                <bottom/>
                <diagonal/>
              </border>
            </x14:dxf>
          </x14:cfRule>
          <xm:sqref>G2:P11</xm:sqref>
        </x14:conditionalFormatting>
        <x14:conditionalFormatting xmlns:xm="http://schemas.microsoft.com/office/excel/2006/main">
          <x14:cfRule type="beginsWith" priority="2" operator="beginsWith" text="DS" id="{00EE00ED-00CE-4AF5-9979-00540062002D}">
            <xm:f>LEFT((G2),LEN("DS"))=("DS")</xm:f>
            <x14:dxf>
              <font/>
              <fill>
                <patternFill patternType="solid">
                  <fgColor rgb="FFFFF2CC"/>
                  <bgColor rgb="FFFFF2CC"/>
                </patternFill>
              </fill>
              <border>
                <left/>
                <right/>
                <top/>
                <bottom/>
                <diagonal/>
              </border>
            </x14:dxf>
          </x14:cfRule>
          <xm:sqref>G2:P11</xm:sqref>
        </x14:conditionalFormatting>
        <x14:conditionalFormatting xmlns:xm="http://schemas.microsoft.com/office/excel/2006/main">
          <x14:cfRule type="beginsWith" priority="3" operator="beginsWith" text="UFOV" id="{006F0000-00FF-4B06-8496-00C600170094}">
            <xm:f>LEFT((G2),LEN("UFOV"))=("UFOV")</xm:f>
            <x14:dxf>
              <font/>
              <fill>
                <patternFill patternType="solid">
                  <fgColor rgb="FFFFF2CC"/>
                  <bgColor rgb="FFFFF2CC"/>
                </patternFill>
              </fill>
              <border>
                <left/>
                <right/>
                <top/>
                <bottom/>
                <diagonal/>
              </border>
            </x14:dxf>
          </x14:cfRule>
          <xm:sqref>G2:P11</xm:sqref>
        </x14:conditionalFormatting>
        <x14:conditionalFormatting xmlns:xm="http://schemas.microsoft.com/office/excel/2006/main">
          <x14:cfRule type="beginsWith" priority="4" operator="beginsWith" text="WO" id="{00EA00D4-0086-45E8-8207-005D008A0039}">
            <xm:f>LEFT((G2),LEN("WO"))=("WO")</xm:f>
            <x14:dxf>
              <font/>
              <fill>
                <patternFill patternType="solid">
                  <fgColor rgb="FFFFF2CC"/>
                  <bgColor rgb="FFFFF2CC"/>
                </patternFill>
              </fill>
              <border>
                <left/>
                <right/>
                <top/>
                <bottom/>
                <diagonal/>
              </border>
            </x14:dxf>
          </x14:cfRule>
          <xm:sqref>G2:P11</xm:sqref>
        </x14:conditionalFormatting>
        <x14:conditionalFormatting xmlns:xm="http://schemas.microsoft.com/office/excel/2006/main">
          <x14:cfRule type="beginsWith" priority="5" operator="beginsWith" text="PC" id="{009200AA-00D8-4A65-AE4A-006700FD0045}">
            <xm:f>LEFT((G2),LEN("PC"))=("PC")</xm:f>
            <x14:dxf>
              <font/>
              <fill>
                <patternFill patternType="solid">
                  <fgColor rgb="FFFFF2CC"/>
                  <bgColor rgb="FFFFF2CC"/>
                </patternFill>
              </fill>
              <border>
                <left/>
                <right/>
                <top/>
                <bottom/>
                <diagonal/>
              </border>
            </x14:dxf>
          </x14:cfRule>
          <xm:sqref>G2:P11</xm:sqref>
        </x14:conditionalFormatting>
        <x14:conditionalFormatting xmlns:xm="http://schemas.microsoft.com/office/excel/2006/main">
          <x14:cfRule type="beginsWith" priority="6" operator="beginsWith" text="MOT" id="{0060001E-0059-42CC-AA3C-006B00FE003A}">
            <xm:f>LEFT((G2),LEN("MOT"))=("MOT")</xm:f>
            <x14:dxf>
              <font/>
              <fill>
                <patternFill patternType="solid">
                  <fgColor rgb="FFFFF2CC"/>
                  <bgColor rgb="FFFFF2CC"/>
                </patternFill>
              </fill>
              <border>
                <left/>
                <right/>
                <top/>
                <bottom/>
                <diagonal/>
              </border>
            </x14:dxf>
          </x14:cfRule>
          <xm:sqref>G2:P11</xm:sqref>
        </x14:conditionalFormatting>
        <x14:conditionalFormatting xmlns:xm="http://schemas.microsoft.com/office/excel/2006/main">
          <x14:cfRule type="beginsWith" priority="7" operator="beginsWith" text="NB" id="{001D00E5-005D-4FE4-B23C-005D00E40070}">
            <xm:f>LEFT((G2),LEN("NB"))=("NB")</xm:f>
            <x14:dxf>
              <font/>
              <fill>
                <patternFill patternType="solid">
                  <fgColor rgb="FFFFF2CC"/>
                  <bgColor rgb="FFFFF2CC"/>
                </patternFill>
              </fill>
              <border>
                <left/>
                <right/>
                <top/>
                <bottom/>
                <diagonal/>
              </border>
            </x14:dxf>
          </x14:cfRule>
          <xm:sqref>G2:P11</xm:sqref>
        </x14:conditionalFormatting>
        <x14:conditionalFormatting xmlns:xm="http://schemas.microsoft.com/office/excel/2006/main">
          <x14:cfRule type="beginsWith" priority="8" operator="beginsWith" text="SS_" id="{000F00BB-007B-4FC9-812A-00A7004300E8}">
            <xm:f>LEFT((G2),LEN("SS_"))=("SS_")</xm:f>
            <x14:dxf>
              <font/>
              <fill>
                <patternFill patternType="solid">
                  <fgColor rgb="FFFFF2CC"/>
                  <bgColor rgb="FFFFF2CC"/>
                </patternFill>
              </fill>
              <border>
                <left/>
                <right/>
                <top/>
                <bottom/>
                <diagonal/>
              </border>
            </x14:dxf>
          </x14:cfRule>
          <xm:sqref>G2:P11</xm:sqref>
        </x14:conditionalFormatting>
        <x14:conditionalFormatting xmlns:xm="http://schemas.microsoft.com/office/excel/2006/main">
          <x14:cfRule type="beginsWith" priority="9" operator="beginsWith" text="ML" id="{00340071-007C-4CFA-93EB-00D200220079}">
            <xm:f>LEFT((G2),LEN("ML"))=("ML")</xm:f>
            <x14:dxf>
              <font/>
              <fill>
                <patternFill patternType="solid">
                  <fgColor rgb="FFFFF2CC"/>
                  <bgColor rgb="FFFFF2CC"/>
                </patternFill>
              </fill>
              <border>
                <left/>
                <right/>
                <top/>
                <bottom/>
                <diagonal/>
              </border>
            </x14:dxf>
          </x14:cfRule>
          <xm:sqref>G2:P11</xm:sqref>
        </x14:conditionalFormatting>
        <x14:conditionalFormatting xmlns:xm="http://schemas.microsoft.com/office/excel/2006/main">
          <x14:cfRule type="beginsWith" priority="10" operator="beginsWith" text="BM" id="{00A500A8-0081-4235-BF34-006300DC007B}">
            <xm:f>LEFT((G2),LEN("BM"))=("BM")</xm:f>
            <x14:dxf>
              <font/>
              <fill>
                <patternFill patternType="solid">
                  <fgColor rgb="FFD9EAD3"/>
                  <bgColor rgb="FFD9EAD3"/>
                </patternFill>
              </fill>
              <border>
                <left/>
                <right/>
                <top/>
                <bottom/>
                <diagonal/>
              </border>
            </x14:dxf>
          </x14:cfRule>
          <xm:sqref>G2:P11</xm:sqref>
        </x14:conditionalFormatting>
        <x14:conditionalFormatting xmlns:xm="http://schemas.microsoft.com/office/excel/2006/main">
          <x14:cfRule type="beginsWith" priority="11" operator="beginsWith" text="OOO" id="{004A0067-0001-4B62-8245-001C00050066}">
            <xm:f>LEFT((G2),LEN("OOO"))=("OOO")</xm:f>
            <x14:dxf>
              <font/>
              <fill>
                <patternFill patternType="solid">
                  <fgColor rgb="FFD9EAD3"/>
                  <bgColor rgb="FFD9EAD3"/>
                </patternFill>
              </fill>
              <border>
                <left/>
                <right/>
                <top/>
                <bottom/>
                <diagonal/>
              </border>
            </x14:dxf>
          </x14:cfRule>
          <xm:sqref>G2:P11</xm:sqref>
        </x14:conditionalFormatting>
        <x14:conditionalFormatting xmlns:xm="http://schemas.microsoft.com/office/excel/2006/main">
          <x14:cfRule type="beginsWith" priority="12" operator="beginsWith" text="SOS" id="{0003001D-00D6-408A-A0B5-001B000F0044}">
            <xm:f>LEFT((G2),LEN("SOS"))=("SOS")</xm:f>
            <x14:dxf>
              <font/>
              <fill>
                <patternFill patternType="solid">
                  <fgColor rgb="FFD9EAD3"/>
                  <bgColor rgb="FFD9EAD3"/>
                </patternFill>
              </fill>
              <border>
                <left/>
                <right/>
                <top/>
                <bottom/>
                <diagonal/>
              </border>
            </x14:dxf>
          </x14:cfRule>
          <xm:sqref>G2:P11</xm:sqref>
        </x14:conditionalFormatting>
        <x14:conditionalFormatting xmlns:xm="http://schemas.microsoft.com/office/excel/2006/main">
          <x14:cfRule type="beginsWith" priority="13" operator="beginsWith" text="SMC" id="{00E70026-0053-496C-9427-00E200EF00F8}">
            <xm:f>LEFT((G2),LEN("SMC"))=("SMC")</xm:f>
            <x14:dxf>
              <font/>
              <fill>
                <patternFill patternType="solid">
                  <fgColor rgb="FFD9EAD3"/>
                  <bgColor rgb="FFD9EAD3"/>
                </patternFill>
              </fill>
              <border>
                <left/>
                <right/>
                <top/>
                <bottom/>
                <diagonal/>
              </border>
            </x14:dxf>
          </x14:cfRule>
          <xm:sqref>G2:P11</xm:sqref>
        </x14:conditionalFormatting>
        <x14:conditionalFormatting xmlns:xm="http://schemas.microsoft.com/office/excel/2006/main">
          <x14:cfRule type="beginsWith" priority="14" operator="beginsWith" text="SRT" id="{0071000A-00D6-480B-8D5E-002E0089002F}">
            <xm:f>LEFT((G2),LEN("SRT"))=("SRT")</xm:f>
            <x14:dxf>
              <font/>
              <fill>
                <patternFill patternType="solid">
                  <fgColor rgb="FFFCE5CD"/>
                  <bgColor rgb="FFFCE5CD"/>
                </patternFill>
              </fill>
              <border>
                <left/>
                <right/>
                <top/>
                <bottom/>
                <diagonal/>
              </border>
            </x14:dxf>
          </x14:cfRule>
          <xm:sqref>G2:P11</xm:sqref>
        </x14:conditionalFormatting>
        <x14:conditionalFormatting xmlns:xm="http://schemas.microsoft.com/office/excel/2006/main">
          <x14:cfRule type="beginsWith" priority="15" operator="beginsWith" text="OC" id="{006C0088-0022-4828-856D-00BB002600DB}">
            <xm:f>LEFT((G2),LEN("OC"))=("OC")</xm:f>
            <x14:dxf>
              <font/>
              <fill>
                <patternFill patternType="solid">
                  <fgColor rgb="FFFCE5CD"/>
                  <bgColor rgb="FFFCE5CD"/>
                </patternFill>
              </fill>
              <border>
                <left/>
                <right/>
                <top/>
                <bottom/>
                <diagonal/>
              </border>
            </x14:dxf>
          </x14:cfRule>
          <xm:sqref>G2:P11</xm:sqref>
        </x14:conditionalFormatting>
        <x14:conditionalFormatting xmlns:xm="http://schemas.microsoft.com/office/excel/2006/main">
          <x14:cfRule type="beginsWith" priority="16" operator="beginsWith" text="SRM" id="{007100BF-0097-4A79-A40F-007A00A30031}">
            <xm:f>LEFT((G2),LEN("SRM"))=("SRM")</xm:f>
            <x14:dxf>
              <font/>
              <fill>
                <patternFill patternType="solid">
                  <fgColor rgb="FFFCE5CD"/>
                  <bgColor rgb="FFFCE5CD"/>
                </patternFill>
              </fill>
              <border>
                <left/>
                <right/>
                <top/>
                <bottom/>
                <diagonal/>
              </border>
            </x14:dxf>
          </x14:cfRule>
          <xm:sqref>G2:P11</xm:sqref>
        </x14:conditionalFormatting>
        <x14:conditionalFormatting xmlns:xm="http://schemas.microsoft.com/office/excel/2006/main">
          <x14:cfRule type="beginsWith" priority="17" operator="beginsWith" text="TOVA" id="{002400DA-0089-4CF4-A666-006300A10087}">
            <xm:f>LEFT((G2),LEN("TOVA"))=("TOVA")</xm:f>
            <x14:dxf>
              <font/>
              <fill>
                <patternFill patternType="solid">
                  <fgColor rgb="FFFCE5CD"/>
                  <bgColor rgb="FFFCE5CD"/>
                </patternFill>
              </fill>
              <border>
                <left/>
                <right/>
                <top/>
                <bottom/>
                <diagonal/>
              </border>
            </x14:dxf>
          </x14:cfRule>
          <xm:sqref>G2:P11</xm:sqref>
        </x14:conditionalFormatting>
        <x14:conditionalFormatting xmlns:xm="http://schemas.microsoft.com/office/excel/2006/main">
          <x14:cfRule type="beginsWith" priority="18" operator="beginsWith" text="SART" id="{00BA008F-0093-40DF-9E68-008900080013}">
            <xm:f>LEFT((G2),LEN("SART"))=("SART")</xm:f>
            <x14:dxf>
              <font/>
              <fill>
                <patternFill patternType="solid">
                  <fgColor rgb="FFFCE5CD"/>
                  <bgColor rgb="FFFCE5CD"/>
                </patternFill>
              </fill>
              <border>
                <left/>
                <right/>
                <top/>
                <bottom/>
                <diagonal/>
              </border>
            </x14:dxf>
          </x14:cfRule>
          <xm:sqref>G2:P11</xm:sqref>
        </x14:conditionalFormatting>
        <x14:conditionalFormatting xmlns:xm="http://schemas.microsoft.com/office/excel/2006/main">
          <x14:cfRule type="beginsWith" priority="19" operator="beginsWith" text="TH" id="{009E004E-0081-486C-8DDA-00F8004A00BA}">
            <xm:f>LEFT((G2),LEN("TH"))=("TH")</xm:f>
            <x14:dxf>
              <font/>
              <fill>
                <patternFill patternType="solid">
                  <fgColor rgb="FFF4CCCC"/>
                  <bgColor rgb="FFF4CCCC"/>
                </patternFill>
              </fill>
              <border>
                <left/>
                <right/>
                <top/>
                <bottom/>
                <diagonal/>
              </border>
            </x14:dxf>
          </x14:cfRule>
          <xm:sqref>G2:P11</xm:sqref>
        </x14:conditionalFormatting>
        <x14:conditionalFormatting xmlns:xm="http://schemas.microsoft.com/office/excel/2006/main">
          <x14:cfRule type="beginsWith" priority="20" operator="beginsWith" text="BSAC" id="{00E7000F-0019-4560-9834-005A00C90024}">
            <xm:f>LEFT((G2),LEN("BSAC"))=("BSAC")</xm:f>
            <x14:dxf>
              <font/>
              <fill>
                <patternFill patternType="solid">
                  <fgColor rgb="FFF4CCCC"/>
                  <bgColor rgb="FFF4CCCC"/>
                </patternFill>
              </fill>
              <border>
                <left/>
                <right/>
                <top/>
                <bottom/>
                <diagonal/>
              </border>
            </x14:dxf>
          </x14:cfRule>
          <xm:sqref>G2:P11</xm:sqref>
        </x14:conditionalFormatting>
        <x14:conditionalFormatting xmlns:xm="http://schemas.microsoft.com/office/excel/2006/main">
          <x14:cfRule type="beginsWith" priority="21" operator="beginsWith" text="RE_" id="{000F00D3-00B4-4FFC-8EB4-00DA007300BB}">
            <xm:f>LEFT((G2),LEN("RE_"))=("RE_")</xm:f>
            <x14:dxf>
              <font/>
              <fill>
                <patternFill patternType="solid">
                  <fgColor rgb="FFF4CCCC"/>
                  <bgColor rgb="FFF4CCCC"/>
                </patternFill>
              </fill>
              <border>
                <left/>
                <right/>
                <top/>
                <bottom/>
                <diagonal/>
              </border>
            </x14:dxf>
          </x14:cfRule>
          <xm:sqref>G2:P11</xm:sqref>
        </x14:conditionalFormatting>
        <x14:conditionalFormatting xmlns:xm="http://schemas.microsoft.com/office/excel/2006/main">
          <x14:cfRule type="beginsWith" priority="22" operator="beginsWith" text="BCS" id="{00AA0056-00BC-45F0-A533-002D005C00BD}">
            <xm:f>LEFT((G2),LEN("BCS"))=("BCS")</xm:f>
            <x14:dxf>
              <font/>
              <fill>
                <patternFill patternType="solid">
                  <fgColor rgb="FFF4CCCC"/>
                  <bgColor rgb="FFF4CCCC"/>
                </patternFill>
              </fill>
              <border>
                <left/>
                <right/>
                <top/>
                <bottom/>
                <diagonal/>
              </border>
            </x14:dxf>
          </x14:cfRule>
          <xm:sqref>G2:P11</xm:sqref>
        </x14:conditionalFormatting>
        <x14:conditionalFormatting xmlns:xm="http://schemas.microsoft.com/office/excel/2006/main">
          <x14:cfRule type="notContainsBlanks" priority="23" id="{00F40011-00DA-46D0-A1F1-008C004F0006}">
            <xm:f>LEN(TRIM(G2))&gt;0</xm:f>
            <x14:dxf>
              <font>
                <color rgb="FFD9D9D9"/>
              </font>
              <fill>
                <patternFill patternType="solid">
                  <fgColor indexed="65"/>
                  <bgColor indexed="65"/>
                </patternFill>
              </fill>
              <border>
                <left/>
                <right/>
                <top/>
                <bottom/>
                <diagonal/>
              </border>
            </x14:dxf>
          </x14:cfRule>
          <xm:sqref>G2:P11</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xSplit="1" ySplit="2" topLeftCell="B3" activePane="bottomRight" state="frozen"/>
      <selection activeCell="B3" activeCellId="0" sqref="B3"/>
    </sheetView>
  </sheetViews>
  <sheetFormatPr defaultColWidth="12.630000000000001" defaultRowHeight="15.75" customHeight="1"/>
  <cols>
    <col customWidth="1" min="1" max="1" width="5.8799999999999999"/>
    <col customWidth="1" min="2" max="2" width="10.5"/>
    <col customWidth="1" min="3" max="3" width="61.880000000000003"/>
    <col customWidth="1" min="4" max="4" width="10.5"/>
    <col customWidth="1" min="5" max="5" width="61.880000000000003"/>
    <col customWidth="1" min="6" max="6" width="10.5"/>
    <col customWidth="1" min="7" max="7" width="61.880000000000003"/>
  </cols>
  <sheetData>
    <row r="1">
      <c r="A1" s="46"/>
      <c r="B1" s="47" t="s">
        <v>355</v>
      </c>
      <c r="D1" s="48" t="s">
        <v>356</v>
      </c>
      <c r="E1" s="49"/>
      <c r="F1" s="47" t="s">
        <v>357</v>
      </c>
    </row>
    <row r="2">
      <c r="A2" s="46" t="s">
        <v>287</v>
      </c>
      <c r="B2" s="47" t="s">
        <v>358</v>
      </c>
      <c r="C2" s="47" t="s">
        <v>359</v>
      </c>
      <c r="D2" s="48" t="s">
        <v>358</v>
      </c>
      <c r="E2" s="50" t="s">
        <v>359</v>
      </c>
      <c r="F2" s="47" t="s">
        <v>358</v>
      </c>
      <c r="G2" s="47" t="s">
        <v>359</v>
      </c>
    </row>
    <row r="3">
      <c r="A3" s="51" t="s">
        <v>360</v>
      </c>
      <c r="B3" s="52" t="s">
        <v>361</v>
      </c>
      <c r="C3" s="53" t="s">
        <v>362</v>
      </c>
      <c r="D3" s="54" t="s">
        <v>363</v>
      </c>
      <c r="E3" s="55"/>
      <c r="F3" s="52" t="s">
        <v>363</v>
      </c>
      <c r="G3" s="56"/>
    </row>
    <row r="4">
      <c r="A4" s="51" t="s">
        <v>364</v>
      </c>
      <c r="B4" s="52" t="s">
        <v>365</v>
      </c>
      <c r="C4" s="53" t="s">
        <v>366</v>
      </c>
      <c r="D4" s="54" t="s">
        <v>363</v>
      </c>
      <c r="E4" s="55"/>
      <c r="F4" s="52" t="s">
        <v>365</v>
      </c>
      <c r="G4" s="53" t="s">
        <v>367</v>
      </c>
    </row>
    <row r="5">
      <c r="A5" s="51" t="s">
        <v>368</v>
      </c>
      <c r="B5" s="52" t="s">
        <v>363</v>
      </c>
      <c r="C5" s="56"/>
      <c r="D5" s="54" t="s">
        <v>363</v>
      </c>
      <c r="E5" s="55"/>
      <c r="F5" s="52" t="s">
        <v>363</v>
      </c>
      <c r="G5" s="56"/>
    </row>
    <row r="6">
      <c r="A6" s="51" t="s">
        <v>369</v>
      </c>
      <c r="B6" s="52" t="s">
        <v>363</v>
      </c>
      <c r="C6" s="56"/>
      <c r="D6" s="54" t="s">
        <v>363</v>
      </c>
      <c r="E6" s="55"/>
      <c r="F6" s="52" t="s">
        <v>365</v>
      </c>
      <c r="G6" s="53" t="s">
        <v>370</v>
      </c>
    </row>
    <row r="7">
      <c r="A7" s="51" t="s">
        <v>371</v>
      </c>
      <c r="B7" s="52" t="s">
        <v>363</v>
      </c>
      <c r="C7" s="56"/>
      <c r="D7" s="54" t="s">
        <v>363</v>
      </c>
      <c r="E7" s="55"/>
      <c r="F7" s="52" t="s">
        <v>363</v>
      </c>
      <c r="G7" s="56"/>
    </row>
    <row r="8">
      <c r="A8" s="51" t="s">
        <v>372</v>
      </c>
      <c r="B8" s="52" t="s">
        <v>363</v>
      </c>
      <c r="C8" s="56"/>
      <c r="D8" s="54" t="s">
        <v>363</v>
      </c>
      <c r="E8" s="55"/>
      <c r="F8" s="52" t="s">
        <v>363</v>
      </c>
      <c r="G8" s="56"/>
    </row>
    <row r="9">
      <c r="A9" s="51" t="s">
        <v>373</v>
      </c>
      <c r="B9" s="52" t="s">
        <v>365</v>
      </c>
      <c r="C9" s="53" t="s">
        <v>374</v>
      </c>
      <c r="D9" s="54" t="s">
        <v>363</v>
      </c>
      <c r="E9" s="55"/>
      <c r="F9" s="52" t="s">
        <v>363</v>
      </c>
      <c r="G9" s="56"/>
    </row>
    <row r="10">
      <c r="A10" s="51" t="s">
        <v>375</v>
      </c>
      <c r="B10" s="52" t="s">
        <v>365</v>
      </c>
      <c r="C10" s="53" t="s">
        <v>376</v>
      </c>
      <c r="D10" s="54" t="s">
        <v>363</v>
      </c>
      <c r="E10" s="55"/>
      <c r="F10" s="52" t="s">
        <v>363</v>
      </c>
      <c r="G10" s="56"/>
    </row>
    <row r="11">
      <c r="A11" s="51" t="s">
        <v>377</v>
      </c>
      <c r="B11" s="52" t="s">
        <v>365</v>
      </c>
      <c r="C11" s="53" t="s">
        <v>378</v>
      </c>
      <c r="D11" s="54" t="s">
        <v>363</v>
      </c>
      <c r="E11" s="55"/>
      <c r="F11" s="52" t="s">
        <v>363</v>
      </c>
      <c r="G11" s="56"/>
    </row>
    <row r="12">
      <c r="A12" s="51" t="s">
        <v>379</v>
      </c>
      <c r="B12" s="52" t="s">
        <v>363</v>
      </c>
      <c r="C12" s="56"/>
      <c r="D12" s="54" t="s">
        <v>365</v>
      </c>
      <c r="E12" s="57" t="s">
        <v>380</v>
      </c>
      <c r="F12" s="52" t="s">
        <v>365</v>
      </c>
      <c r="G12" s="53" t="s">
        <v>381</v>
      </c>
    </row>
    <row r="13">
      <c r="A13" s="58"/>
      <c r="B13" s="59" t="s">
        <v>382</v>
      </c>
      <c r="C13" s="60"/>
      <c r="D13" s="60"/>
      <c r="E13" s="60"/>
      <c r="F13" s="60"/>
      <c r="G13" s="60"/>
    </row>
  </sheetData>
  <mergeCells count="4">
    <mergeCell ref="B1:C1"/>
    <mergeCell ref="D1:E1"/>
    <mergeCell ref="F1:G1"/>
    <mergeCell ref="B13:G13"/>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1" operator="equal" id="{003F00EB-00A2-4384-AA86-0092006B00A3}">
            <xm:f>"Untested"</xm:f>
            <x14:dxf>
              <font>
                <i/>
                <color rgb="FFCCCCCC"/>
              </font>
              <fill>
                <patternFill patternType="solid">
                  <fgColor theme="0"/>
                  <bgColor theme="0"/>
                </patternFill>
              </fill>
              <border>
                <left/>
                <right/>
                <top/>
                <bottom/>
                <diagonal/>
              </border>
            </x14:dxf>
          </x14:cfRule>
          <xm:sqref>B3:G13</xm:sqref>
        </x14:conditionalFormatting>
        <x14:conditionalFormatting xmlns:xm="http://schemas.microsoft.com/office/excel/2006/main">
          <x14:cfRule type="cellIs" priority="2" operator="equal" id="{00370021-00C2-4D7A-8665-00EF00C60015}">
            <xm:f>"Testing"</xm:f>
            <x14:dxf>
              <font/>
              <fill>
                <patternFill patternType="solid">
                  <fgColor rgb="FFFFF2CC"/>
                  <bgColor rgb="FFFFF2CC"/>
                </patternFill>
              </fill>
              <border>
                <left/>
                <right/>
                <top/>
                <bottom/>
                <diagonal/>
              </border>
            </x14:dxf>
          </x14:cfRule>
          <xm:sqref>B3:G13</xm:sqref>
        </x14:conditionalFormatting>
        <x14:conditionalFormatting xmlns:xm="http://schemas.microsoft.com/office/excel/2006/main">
          <x14:cfRule type="cellIs" priority="3" operator="equal" id="{001100B9-002A-4B0B-BA46-00D3004E001F}">
            <xm:f>"Tested"</xm:f>
            <x14:dxf>
              <font/>
              <fill>
                <patternFill patternType="solid">
                  <fgColor rgb="FFD9EAD3"/>
                  <bgColor rgb="FFD9EAD3"/>
                </patternFill>
              </fill>
              <border>
                <left/>
                <right/>
                <top/>
                <bottom/>
                <diagonal/>
              </border>
            </x14:dxf>
          </x14:cfRule>
          <xm:sqref>B3:G13</xm:sqref>
        </x14:conditionalFormatting>
      </x14:conditionalFormattings>
    </ext>
    <ext xmlns:x14="http://schemas.microsoft.com/office/spreadsheetml/2009/9/main" uri="{CCE6A557-97BC-4b89-ADB6-D9C93CAAB3DF}">
      <x14:dataValidations xmlns:xm="http://schemas.microsoft.com/office/excel/2006/main" count="1" disablePrompts="0">
        <x14:dataValidation xr:uid="{00C3003D-0095-4D1F-B226-008400450079}" type="list" allowBlank="1" errorStyle="stop" imeMode="noControl" operator="between" showDropDown="0" showErrorMessage="1" showInputMessage="0">
          <x14:formula1>
            <xm:f>"Untested,Testing,Tested"</xm:f>
          </x14:formula1>
          <xm:sqref>B3:B12 D3:D12 F3:F12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7.25"/>
    <col customWidth="1" min="9" max="24" width="7"/>
  </cols>
  <sheetData>
    <row r="1">
      <c r="A1" s="36" t="s">
        <v>383</v>
      </c>
      <c r="B1" s="36" t="s">
        <v>384</v>
      </c>
      <c r="C1" s="61" t="s">
        <v>385</v>
      </c>
      <c r="D1" s="36" t="s">
        <v>386</v>
      </c>
      <c r="E1" s="36" t="s">
        <v>387</v>
      </c>
      <c r="F1" s="61" t="s">
        <v>388</v>
      </c>
    </row>
    <row r="2">
      <c r="A2" s="28">
        <v>1</v>
      </c>
      <c r="B2" s="28" t="s">
        <v>360</v>
      </c>
      <c r="C2" s="28" t="s">
        <v>364</v>
      </c>
      <c r="D2" s="28" t="s">
        <v>371</v>
      </c>
      <c r="E2" s="28" t="s">
        <v>375</v>
      </c>
      <c r="F2" s="28" t="s">
        <v>373</v>
      </c>
    </row>
    <row r="3">
      <c r="A3" s="28">
        <v>2</v>
      </c>
      <c r="B3" s="28" t="s">
        <v>364</v>
      </c>
      <c r="C3" s="28" t="s">
        <v>372</v>
      </c>
      <c r="D3" s="28" t="s">
        <v>377</v>
      </c>
      <c r="E3" s="28" t="s">
        <v>371</v>
      </c>
      <c r="F3" s="28" t="s">
        <v>371</v>
      </c>
      <c r="J3" s="61" t="s">
        <v>389</v>
      </c>
      <c r="K3" s="61" t="s">
        <v>384</v>
      </c>
      <c r="L3" s="61" t="s">
        <v>385</v>
      </c>
      <c r="M3" s="36" t="s">
        <v>386</v>
      </c>
      <c r="N3" s="36" t="s">
        <v>387</v>
      </c>
      <c r="O3" s="61" t="s">
        <v>388</v>
      </c>
    </row>
    <row r="4">
      <c r="A4" s="28">
        <v>3</v>
      </c>
      <c r="B4" s="28" t="s">
        <v>368</v>
      </c>
      <c r="C4" s="28" t="s">
        <v>369</v>
      </c>
      <c r="D4" s="28" t="s">
        <v>375</v>
      </c>
      <c r="E4" s="28" t="s">
        <v>368</v>
      </c>
      <c r="F4" s="28" t="s">
        <v>364</v>
      </c>
      <c r="J4" s="28" t="s">
        <v>360</v>
      </c>
      <c r="K4" s="62">
        <v>10</v>
      </c>
      <c r="L4" s="62">
        <v>3</v>
      </c>
      <c r="M4" s="62">
        <v>8</v>
      </c>
      <c r="N4" s="62">
        <v>7</v>
      </c>
      <c r="O4" s="62">
        <v>4</v>
      </c>
    </row>
    <row r="5">
      <c r="A5" s="28">
        <v>4</v>
      </c>
      <c r="B5" s="28" t="s">
        <v>369</v>
      </c>
      <c r="C5" s="28" t="s">
        <v>373</v>
      </c>
      <c r="D5" s="28" t="s">
        <v>360</v>
      </c>
      <c r="E5" s="28" t="s">
        <v>377</v>
      </c>
      <c r="F5" s="28" t="s">
        <v>377</v>
      </c>
      <c r="J5" s="28" t="s">
        <v>364</v>
      </c>
      <c r="K5" s="62">
        <v>1</v>
      </c>
      <c r="L5" s="62">
        <v>9</v>
      </c>
      <c r="M5" s="62">
        <v>4</v>
      </c>
      <c r="N5" s="62">
        <v>6</v>
      </c>
      <c r="O5" s="62">
        <v>5</v>
      </c>
    </row>
    <row r="6">
      <c r="A6" s="28">
        <v>5</v>
      </c>
      <c r="B6" s="28" t="s">
        <v>371</v>
      </c>
      <c r="C6" s="28" t="s">
        <v>379</v>
      </c>
      <c r="D6" s="28" t="s">
        <v>369</v>
      </c>
      <c r="E6" s="28" t="s">
        <v>373</v>
      </c>
      <c r="F6" s="28" t="s">
        <v>369</v>
      </c>
      <c r="J6" s="28" t="s">
        <v>368</v>
      </c>
      <c r="K6" s="62">
        <v>2</v>
      </c>
      <c r="L6" s="62">
        <v>8</v>
      </c>
      <c r="M6" s="62">
        <v>6</v>
      </c>
      <c r="N6" s="62">
        <v>5</v>
      </c>
      <c r="O6" s="62">
        <v>10</v>
      </c>
    </row>
    <row r="7">
      <c r="A7" s="28">
        <v>6</v>
      </c>
      <c r="B7" s="28" t="s">
        <v>372</v>
      </c>
      <c r="C7" s="28" t="s">
        <v>371</v>
      </c>
      <c r="D7" s="28" t="s">
        <v>364</v>
      </c>
      <c r="E7" s="28" t="s">
        <v>360</v>
      </c>
      <c r="F7" s="28" t="s">
        <v>360</v>
      </c>
      <c r="J7" s="28" t="s">
        <v>369</v>
      </c>
      <c r="K7" s="62">
        <v>3</v>
      </c>
      <c r="L7" s="62">
        <v>6</v>
      </c>
      <c r="M7" s="62">
        <v>1</v>
      </c>
      <c r="N7" s="62">
        <v>2</v>
      </c>
      <c r="O7" s="62">
        <v>9</v>
      </c>
    </row>
    <row r="8">
      <c r="A8" s="28">
        <v>7</v>
      </c>
      <c r="B8" s="28" t="s">
        <v>373</v>
      </c>
      <c r="C8" s="28" t="s">
        <v>375</v>
      </c>
      <c r="D8" s="28" t="s">
        <v>379</v>
      </c>
      <c r="E8" s="28" t="s">
        <v>379</v>
      </c>
      <c r="F8" s="28" t="s">
        <v>375</v>
      </c>
      <c r="J8" s="28" t="s">
        <v>371</v>
      </c>
      <c r="K8" s="62">
        <v>4</v>
      </c>
      <c r="L8" s="62">
        <v>10</v>
      </c>
      <c r="M8" s="62">
        <v>3</v>
      </c>
      <c r="N8" s="62">
        <v>8</v>
      </c>
      <c r="O8" s="62">
        <v>7</v>
      </c>
    </row>
    <row r="9">
      <c r="A9" s="28">
        <v>8</v>
      </c>
      <c r="B9" s="28" t="s">
        <v>375</v>
      </c>
      <c r="C9" s="28" t="s">
        <v>368</v>
      </c>
      <c r="D9" s="28" t="s">
        <v>373</v>
      </c>
      <c r="E9" s="28" t="s">
        <v>372</v>
      </c>
      <c r="F9" s="28" t="s">
        <v>372</v>
      </c>
      <c r="J9" s="28" t="s">
        <v>372</v>
      </c>
      <c r="K9" s="62">
        <v>5</v>
      </c>
      <c r="L9" s="62">
        <v>2</v>
      </c>
      <c r="M9" s="62">
        <v>7</v>
      </c>
      <c r="N9" s="62">
        <v>10</v>
      </c>
      <c r="O9" s="62">
        <v>8</v>
      </c>
    </row>
    <row r="10">
      <c r="A10" s="28">
        <v>9</v>
      </c>
      <c r="B10" s="28" t="s">
        <v>377</v>
      </c>
      <c r="C10" s="28" t="s">
        <v>360</v>
      </c>
      <c r="D10" s="28" t="s">
        <v>372</v>
      </c>
      <c r="E10" s="28" t="s">
        <v>364</v>
      </c>
      <c r="F10" s="28" t="s">
        <v>379</v>
      </c>
      <c r="J10" s="28" t="s">
        <v>373</v>
      </c>
      <c r="K10" s="62">
        <v>6</v>
      </c>
      <c r="L10" s="62">
        <v>4</v>
      </c>
      <c r="M10" s="62">
        <v>10</v>
      </c>
      <c r="N10" s="62">
        <v>9</v>
      </c>
      <c r="O10" s="62">
        <v>3</v>
      </c>
    </row>
    <row r="11">
      <c r="A11" s="28">
        <v>10</v>
      </c>
      <c r="B11" s="28" t="s">
        <v>379</v>
      </c>
      <c r="C11" s="28" t="s">
        <v>377</v>
      </c>
      <c r="D11" s="28" t="s">
        <v>368</v>
      </c>
      <c r="E11" s="28" t="s">
        <v>369</v>
      </c>
      <c r="F11" s="28" t="s">
        <v>368</v>
      </c>
      <c r="J11" s="28" t="s">
        <v>375</v>
      </c>
      <c r="K11" s="62">
        <v>7</v>
      </c>
      <c r="L11" s="62">
        <v>5</v>
      </c>
      <c r="M11" s="62">
        <v>9</v>
      </c>
      <c r="N11" s="62">
        <v>4</v>
      </c>
      <c r="O11" s="62">
        <v>1</v>
      </c>
    </row>
    <row r="12">
      <c r="J12" s="28" t="s">
        <v>377</v>
      </c>
      <c r="K12" s="62">
        <v>8</v>
      </c>
      <c r="L12" s="62">
        <v>1</v>
      </c>
      <c r="M12" s="62">
        <v>5</v>
      </c>
      <c r="N12" s="62">
        <v>3</v>
      </c>
      <c r="O12" s="62">
        <v>2</v>
      </c>
    </row>
    <row r="13">
      <c r="J13" s="28" t="s">
        <v>379</v>
      </c>
      <c r="K13" s="62">
        <v>9</v>
      </c>
      <c r="L13" s="62">
        <v>7</v>
      </c>
      <c r="M13" s="62">
        <v>2</v>
      </c>
      <c r="N13" s="62">
        <v>1</v>
      </c>
      <c r="O13" s="62">
        <v>6</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cols>
    <col customWidth="1" min="1" max="1" width="12.130000000000001"/>
    <col customWidth="1" min="2" max="2" width="20.879999999999999"/>
    <col customWidth="1" min="3" max="3" width="38.75"/>
    <col customWidth="1" min="4" max="4" width="9.1300000000000008"/>
    <col customWidth="1" min="5" max="5" width="9.6300000000000008"/>
    <col customWidth="1" min="6" max="6" width="44.25"/>
    <col customWidth="1" min="10" max="11" width="28.379999999999999"/>
  </cols>
  <sheetData>
    <row r="1">
      <c r="A1" s="63" t="s">
        <v>390</v>
      </c>
      <c r="B1" s="30" t="s">
        <v>391</v>
      </c>
      <c r="C1" s="30" t="s">
        <v>392</v>
      </c>
      <c r="D1" s="30" t="s">
        <v>393</v>
      </c>
      <c r="E1" s="64" t="s">
        <v>394</v>
      </c>
      <c r="F1" s="30" t="s">
        <v>273</v>
      </c>
      <c r="G1" s="30" t="s">
        <v>395</v>
      </c>
      <c r="H1" s="30" t="s">
        <v>396</v>
      </c>
      <c r="I1" s="30" t="s">
        <v>397</v>
      </c>
      <c r="J1" s="65" t="s">
        <v>398</v>
      </c>
      <c r="K1" s="30" t="s">
        <v>399</v>
      </c>
    </row>
    <row r="2">
      <c r="A2" s="26" t="s">
        <v>181</v>
      </c>
      <c r="B2" s="26" t="s">
        <v>182</v>
      </c>
      <c r="C2" s="27" t="s">
        <v>183</v>
      </c>
      <c r="D2" s="26">
        <v>20</v>
      </c>
      <c r="E2" s="26">
        <v>0</v>
      </c>
      <c r="F2" s="26" t="s">
        <v>400</v>
      </c>
      <c r="G2" s="27"/>
      <c r="H2" s="27"/>
      <c r="I2" s="66">
        <v>0.12569444444444444</v>
      </c>
      <c r="J2" s="67" t="b">
        <v>1</v>
      </c>
      <c r="K2" s="68" t="str">
        <f t="shared" ref="K2:K44" si="2">CONCATENATE("https://sv.testing.dev.xcit.org/api/v1/sessions/",B2,"_v2021.03/start")</f>
        <v>https://sv.testing.dev.xcit.org/api/v1/sessions/x_acs_v2021.03/start</v>
      </c>
    </row>
    <row r="3">
      <c r="A3" s="26" t="s">
        <v>184</v>
      </c>
      <c r="B3" s="26" t="s">
        <v>185</v>
      </c>
      <c r="C3" s="27" t="s">
        <v>186</v>
      </c>
      <c r="D3" s="26">
        <v>15</v>
      </c>
      <c r="E3" s="26">
        <v>0</v>
      </c>
      <c r="F3" s="26" t="s">
        <v>400</v>
      </c>
      <c r="G3" s="27"/>
      <c r="H3" s="27"/>
      <c r="I3" s="66">
        <v>0.079166666666666663</v>
      </c>
      <c r="J3" s="67" t="b">
        <v>1</v>
      </c>
      <c r="K3" s="68" t="str">
        <f t="shared" si="2"/>
        <v>https://sv.testing.dev.xcit.org/api/v1/sessions/x_adc_v2021.03/start</v>
      </c>
    </row>
    <row r="4">
      <c r="A4" s="26" t="s">
        <v>187</v>
      </c>
      <c r="B4" s="27" t="s">
        <v>188</v>
      </c>
      <c r="C4" s="27" t="s">
        <v>189</v>
      </c>
      <c r="D4" s="27">
        <v>20</v>
      </c>
      <c r="E4" s="27">
        <v>1</v>
      </c>
      <c r="F4" s="27"/>
      <c r="G4" s="27"/>
      <c r="H4" s="27"/>
      <c r="I4" s="66">
        <v>0.12083333333333333</v>
      </c>
      <c r="J4" s="67" t="b">
        <v>1</v>
      </c>
      <c r="K4" s="68" t="str">
        <f t="shared" si="2"/>
        <v>https://sv.testing.dev.xcit.org/api/v1/sessions/x_aiss_v2021.03/start</v>
      </c>
    </row>
    <row r="5">
      <c r="A5" s="26" t="s">
        <v>190</v>
      </c>
      <c r="B5" s="27" t="s">
        <v>191</v>
      </c>
      <c r="C5" s="27" t="s">
        <v>192</v>
      </c>
      <c r="D5" s="27">
        <v>12</v>
      </c>
      <c r="E5" s="27">
        <v>1</v>
      </c>
      <c r="F5" s="27"/>
      <c r="G5" s="27"/>
      <c r="H5" s="27"/>
      <c r="I5" s="66">
        <v>0.083333333333333329</v>
      </c>
      <c r="J5" s="67" t="b">
        <v>1</v>
      </c>
      <c r="K5" s="68" t="str">
        <f t="shared" si="2"/>
        <v>https://sv.testing.dev.xcit.org/api/v1/sessions/x_arces_v2021.03/start</v>
      </c>
    </row>
    <row r="6">
      <c r="A6" s="26" t="s">
        <v>193</v>
      </c>
      <c r="B6" s="27" t="s">
        <v>194</v>
      </c>
      <c r="C6" s="27" t="s">
        <v>195</v>
      </c>
      <c r="D6" s="27">
        <v>18</v>
      </c>
      <c r="E6" s="27">
        <v>1</v>
      </c>
      <c r="F6" s="27"/>
      <c r="G6" s="27"/>
      <c r="H6" s="27"/>
      <c r="I6" s="66">
        <v>0.031944444444444442</v>
      </c>
      <c r="J6" s="67" t="b">
        <v>1</v>
      </c>
      <c r="K6" s="68" t="str">
        <f t="shared" si="2"/>
        <v>https://sv.testing.dev.xcit.org/api/v1/sessions/x_asrs-a-i_v2021.03/start</v>
      </c>
    </row>
    <row r="7">
      <c r="A7" s="26" t="s">
        <v>196</v>
      </c>
      <c r="B7" s="27" t="s">
        <v>197</v>
      </c>
      <c r="C7" s="27" t="s">
        <v>198</v>
      </c>
      <c r="D7" s="27">
        <v>16</v>
      </c>
      <c r="E7" s="27">
        <v>2</v>
      </c>
      <c r="F7" s="27" t="s">
        <v>401</v>
      </c>
      <c r="G7" s="27"/>
      <c r="H7" s="27"/>
      <c r="I7" s="66">
        <v>0.11458333333333333</v>
      </c>
      <c r="J7" s="67" t="b">
        <v>1</v>
      </c>
      <c r="K7" s="68" t="str">
        <f t="shared" si="2"/>
        <v>https://sv.testing.dev.xcit.org/api/v1/sessions/x_avgp_v2021.03/start</v>
      </c>
    </row>
    <row r="8">
      <c r="A8" s="26" t="s">
        <v>199</v>
      </c>
      <c r="B8" s="27" t="s">
        <v>200</v>
      </c>
      <c r="C8" s="27" t="s">
        <v>201</v>
      </c>
      <c r="D8" s="27">
        <v>60</v>
      </c>
      <c r="E8" s="27">
        <v>1</v>
      </c>
      <c r="F8" s="27"/>
      <c r="G8" s="27"/>
      <c r="H8" s="27"/>
      <c r="I8" s="66">
        <v>0.23958333333333334</v>
      </c>
      <c r="J8" s="67" t="b">
        <v>1</v>
      </c>
      <c r="K8" s="68" t="str">
        <f t="shared" si="2"/>
        <v>https://sv.testing.dev.xcit.org/api/v1/sessions/x_bfi2_v2021.03/start</v>
      </c>
    </row>
    <row r="9">
      <c r="A9" s="26" t="s">
        <v>202</v>
      </c>
      <c r="B9" s="27" t="s">
        <v>203</v>
      </c>
      <c r="C9" s="27" t="s">
        <v>204</v>
      </c>
      <c r="D9" s="27">
        <v>30</v>
      </c>
      <c r="E9" s="27">
        <v>1</v>
      </c>
      <c r="F9" s="27"/>
      <c r="G9" s="27"/>
      <c r="H9" s="27"/>
      <c r="I9" s="66">
        <v>0.12847222222222221</v>
      </c>
      <c r="J9" s="67" t="b">
        <v>1</v>
      </c>
      <c r="K9" s="68" t="str">
        <f t="shared" si="2"/>
        <v>https://sv.testing.dev.xcit.org/api/v1/sessions/x_bis11_v2021.03/start</v>
      </c>
    </row>
    <row r="10">
      <c r="A10" s="26" t="s">
        <v>205</v>
      </c>
      <c r="B10" s="27" t="s">
        <v>206</v>
      </c>
      <c r="C10" s="27" t="s">
        <v>207</v>
      </c>
      <c r="D10" s="27">
        <v>24</v>
      </c>
      <c r="E10" s="27">
        <v>1</v>
      </c>
      <c r="F10" s="27"/>
      <c r="G10" s="27"/>
      <c r="H10" s="27"/>
      <c r="I10" s="66">
        <v>0.14027777777777778</v>
      </c>
      <c r="J10" s="67" t="b">
        <v>1</v>
      </c>
      <c r="K10" s="68" t="str">
        <f t="shared" si="2"/>
        <v>https://sv.testing.dev.xcit.org/api/v1/sessions/x_bisbas_v2021.03/start</v>
      </c>
    </row>
    <row r="11">
      <c r="A11" s="27" t="s">
        <v>208</v>
      </c>
      <c r="B11" s="28" t="s">
        <v>209</v>
      </c>
      <c r="C11" s="27" t="s">
        <v>210</v>
      </c>
      <c r="D11" s="26">
        <v>25</v>
      </c>
      <c r="E11" s="26">
        <v>1</v>
      </c>
      <c r="F11" s="27"/>
      <c r="G11" s="27"/>
      <c r="H11" s="27"/>
      <c r="I11" s="66">
        <v>0.13402777777777777</v>
      </c>
      <c r="J11" s="67" t="b">
        <v>1</v>
      </c>
      <c r="K11" s="68" t="str">
        <f t="shared" si="2"/>
        <v>https://sv.testing.dev.xcit.org/api/v1/sessions/x_cfq_v2021.03/start</v>
      </c>
    </row>
    <row r="12">
      <c r="A12" s="27" t="s">
        <v>211</v>
      </c>
      <c r="B12" s="26" t="s">
        <v>212</v>
      </c>
      <c r="C12" s="27" t="s">
        <v>213</v>
      </c>
      <c r="D12" s="26">
        <v>12</v>
      </c>
      <c r="E12" s="26">
        <v>1</v>
      </c>
      <c r="F12" s="27"/>
      <c r="G12" s="27"/>
      <c r="H12" s="27"/>
      <c r="I12" s="66">
        <v>0.065972222222222224</v>
      </c>
      <c r="J12" s="67" t="b">
        <v>1</v>
      </c>
      <c r="K12" s="68" t="str">
        <f t="shared" si="2"/>
        <v>https://sv.testing.dev.xcit.org/api/v1/sessions/x_cfs_v2021.03/start</v>
      </c>
    </row>
    <row r="13">
      <c r="A13" s="27" t="s">
        <v>214</v>
      </c>
      <c r="B13" s="26" t="s">
        <v>215</v>
      </c>
      <c r="C13" s="27" t="s">
        <v>216</v>
      </c>
      <c r="D13" s="26">
        <v>4</v>
      </c>
      <c r="E13" s="26">
        <v>0</v>
      </c>
      <c r="F13" s="27"/>
      <c r="G13" s="27"/>
      <c r="H13" s="27"/>
      <c r="I13" s="66">
        <v>0.03125</v>
      </c>
      <c r="J13" s="67" t="b">
        <v>1</v>
      </c>
      <c r="K13" s="68" t="str">
        <f t="shared" si="2"/>
        <v>https://sv.testing.dev.xcit.org/api/v1/sessions/x_ehi-sf_v2021.03/start</v>
      </c>
    </row>
    <row r="14">
      <c r="A14" s="26" t="s">
        <v>217</v>
      </c>
      <c r="B14" s="26" t="s">
        <v>218</v>
      </c>
      <c r="C14" s="27" t="s">
        <v>219</v>
      </c>
      <c r="D14" s="26">
        <v>10</v>
      </c>
      <c r="E14" s="26">
        <v>1</v>
      </c>
      <c r="F14" s="27"/>
      <c r="G14" s="27"/>
      <c r="H14" s="27"/>
      <c r="I14" s="66">
        <v>0.097222222222222224</v>
      </c>
      <c r="J14" s="67" t="b">
        <v>1</v>
      </c>
      <c r="K14" s="68" t="str">
        <f t="shared" si="2"/>
        <v>https://sv.testing.dev.xcit.org/api/v1/sessions/x_erq_v2021.03/start</v>
      </c>
    </row>
    <row r="15">
      <c r="A15" s="26" t="s">
        <v>220</v>
      </c>
      <c r="B15" s="26" t="s">
        <v>221</v>
      </c>
      <c r="C15" s="27" t="s">
        <v>222</v>
      </c>
      <c r="D15" s="26">
        <v>5</v>
      </c>
      <c r="E15" s="26">
        <v>1</v>
      </c>
      <c r="F15" s="27"/>
      <c r="G15" s="27"/>
      <c r="H15" s="27"/>
      <c r="I15" s="66">
        <v>0.027777777777777776</v>
      </c>
      <c r="J15" s="67" t="b">
        <v>1</v>
      </c>
      <c r="K15" s="68" t="str">
        <f t="shared" si="2"/>
        <v>https://sv.testing.dev.xcit.org/api/v1/sessions/x_grit5_v2021.03/start</v>
      </c>
    </row>
    <row r="16">
      <c r="A16" s="26" t="s">
        <v>223</v>
      </c>
      <c r="B16" s="26" t="s">
        <v>224</v>
      </c>
      <c r="C16" s="26" t="s">
        <v>225</v>
      </c>
      <c r="D16" s="26">
        <v>8</v>
      </c>
      <c r="E16" s="26">
        <v>1</v>
      </c>
      <c r="F16" s="26" t="s">
        <v>402</v>
      </c>
      <c r="G16" s="27"/>
      <c r="H16" s="27"/>
      <c r="I16" s="66">
        <v>0.034722222222222224</v>
      </c>
      <c r="J16" s="67" t="b">
        <v>1</v>
      </c>
      <c r="K16" s="68" t="str">
        <f t="shared" si="2"/>
        <v>https://sv.testing.dev.xcit.org/api/v1/sessions/xcit-iam_v2021.03/start</v>
      </c>
      <c r="N16" s="28" t="s">
        <v>403</v>
      </c>
    </row>
    <row r="17">
      <c r="A17" s="26" t="s">
        <v>226</v>
      </c>
      <c r="B17" s="26" t="s">
        <v>227</v>
      </c>
      <c r="C17" s="27" t="s">
        <v>228</v>
      </c>
      <c r="D17" s="26">
        <v>10</v>
      </c>
      <c r="E17" s="26">
        <v>0</v>
      </c>
      <c r="F17" s="27"/>
      <c r="G17" s="27"/>
      <c r="H17" s="27"/>
      <c r="I17" s="66">
        <v>0.055555555555555552</v>
      </c>
      <c r="J17" s="67" t="b">
        <v>1</v>
      </c>
      <c r="K17" s="68" t="str">
        <f t="shared" si="2"/>
        <v>https://sv.testing.dev.xcit.org/api/v1/sessions/x_i-panas-sf_v2021.03/start</v>
      </c>
    </row>
    <row r="18">
      <c r="A18" s="69" t="s">
        <v>404</v>
      </c>
      <c r="B18" s="70" t="s">
        <v>404</v>
      </c>
      <c r="C18" s="70" t="s">
        <v>405</v>
      </c>
      <c r="D18" s="69">
        <v>16</v>
      </c>
      <c r="E18" s="69">
        <v>0</v>
      </c>
      <c r="F18" s="69" t="s">
        <v>406</v>
      </c>
      <c r="G18" s="69" t="s">
        <v>407</v>
      </c>
      <c r="H18" s="70"/>
      <c r="I18" s="71">
        <v>0.72916666666666663</v>
      </c>
      <c r="J18" s="72" t="b">
        <v>0</v>
      </c>
      <c r="K18" s="68" t="str">
        <f t="shared" si="2"/>
        <v>https://sv.testing.dev.xcit.org/api/v1/sessions/icar16_v2021.03/start</v>
      </c>
      <c r="L18" s="35"/>
      <c r="M18" s="35"/>
      <c r="N18" s="73" t="s">
        <v>408</v>
      </c>
      <c r="O18" s="35"/>
    </row>
    <row r="19">
      <c r="A19" s="27" t="s">
        <v>229</v>
      </c>
      <c r="B19" s="26" t="s">
        <v>230</v>
      </c>
      <c r="C19" s="27" t="s">
        <v>231</v>
      </c>
      <c r="D19" s="26">
        <v>7</v>
      </c>
      <c r="E19" s="26">
        <v>5</v>
      </c>
      <c r="F19" s="26" t="s">
        <v>409</v>
      </c>
      <c r="G19" s="27"/>
      <c r="H19" s="27"/>
      <c r="I19" s="66">
        <v>0.125</v>
      </c>
      <c r="J19" s="67" t="b">
        <v>1</v>
      </c>
      <c r="K19" s="68" t="str">
        <f t="shared" si="2"/>
        <v>https://sv.testing.dev.xcit.org/api/v1/sessions/x_ipaq-sf_v2021.03/start</v>
      </c>
      <c r="O19" s="74" t="s">
        <v>410</v>
      </c>
    </row>
    <row r="20">
      <c r="A20" s="27" t="s">
        <v>232</v>
      </c>
      <c r="B20" s="26" t="s">
        <v>233</v>
      </c>
      <c r="C20" s="27" t="s">
        <v>234</v>
      </c>
      <c r="D20" s="26">
        <v>15</v>
      </c>
      <c r="E20" s="26">
        <v>1</v>
      </c>
      <c r="F20" s="27"/>
      <c r="G20" s="27"/>
      <c r="H20" s="27"/>
      <c r="I20" s="66">
        <v>0.09375</v>
      </c>
      <c r="J20" s="67" t="b">
        <v>1</v>
      </c>
      <c r="K20" s="68" t="str">
        <f t="shared" si="2"/>
        <v>https://sv.testing.dev.xcit.org/api/v1/sessions/x_maas_v2021.03/start</v>
      </c>
    </row>
    <row r="21">
      <c r="A21" s="27" t="s">
        <v>235</v>
      </c>
      <c r="B21" s="26" t="s">
        <v>236</v>
      </c>
      <c r="C21" s="27" t="s">
        <v>237</v>
      </c>
      <c r="D21" s="26">
        <v>12</v>
      </c>
      <c r="E21" s="26">
        <v>1</v>
      </c>
      <c r="F21" s="27"/>
      <c r="G21" s="27"/>
      <c r="H21" s="27"/>
      <c r="I21" s="66">
        <v>0.069444444444444448</v>
      </c>
      <c r="J21" s="67" t="b">
        <v>1</v>
      </c>
      <c r="K21" s="68" t="str">
        <f t="shared" si="2"/>
        <v>https://sv.testing.dev.xcit.org/api/v1/sessions/x_mfs_v2021.03/start</v>
      </c>
      <c r="N21" s="28" t="s">
        <v>411</v>
      </c>
    </row>
    <row r="22">
      <c r="A22" s="26" t="s">
        <v>238</v>
      </c>
      <c r="B22" s="26" t="s">
        <v>239</v>
      </c>
      <c r="C22" s="27" t="s">
        <v>240</v>
      </c>
      <c r="D22" s="26">
        <v>2</v>
      </c>
      <c r="E22" s="26">
        <v>0</v>
      </c>
      <c r="F22" s="26" t="s">
        <v>412</v>
      </c>
      <c r="G22" s="27"/>
      <c r="H22" s="27"/>
      <c r="I22" s="66">
        <v>0.013888888888888888</v>
      </c>
      <c r="J22" s="67" t="b">
        <v>1</v>
      </c>
      <c r="K22" s="68" t="str">
        <f t="shared" si="2"/>
        <v>https://sv.testing.dev.xcit.org/api/v1/sessions/x_mindset2_v2021.03/start</v>
      </c>
      <c r="N22" s="28" t="s">
        <v>413</v>
      </c>
    </row>
    <row r="23">
      <c r="A23" s="27" t="s">
        <v>241</v>
      </c>
      <c r="B23" s="26" t="s">
        <v>242</v>
      </c>
      <c r="C23" s="27" t="s">
        <v>243</v>
      </c>
      <c r="D23" s="26">
        <v>45</v>
      </c>
      <c r="E23" s="26">
        <v>7</v>
      </c>
      <c r="F23" s="26" t="s">
        <v>409</v>
      </c>
      <c r="G23" s="27"/>
      <c r="H23" s="27"/>
      <c r="I23" s="66">
        <v>0.4236111111111111</v>
      </c>
      <c r="J23" s="67" t="b">
        <v>1</v>
      </c>
      <c r="K23" s="68" t="str">
        <f t="shared" si="2"/>
        <v>https://sv.testing.dev.xcit.org/api/v1/sessions/xcit-mmi_v2021.03/start</v>
      </c>
    </row>
    <row r="24">
      <c r="A24" s="75" t="s">
        <v>244</v>
      </c>
      <c r="B24" s="27" t="s">
        <v>244</v>
      </c>
      <c r="C24" s="27" t="s">
        <v>245</v>
      </c>
      <c r="D24" s="26">
        <v>20</v>
      </c>
      <c r="E24" s="26">
        <v>3</v>
      </c>
      <c r="F24" s="26" t="s">
        <v>409</v>
      </c>
      <c r="G24" s="27"/>
      <c r="H24" s="27"/>
      <c r="I24" s="66">
        <v>0.14861111111111111</v>
      </c>
      <c r="J24" s="67" t="b">
        <v>1</v>
      </c>
      <c r="K24" s="68" t="str">
        <f t="shared" si="2"/>
        <v>https://sv.testing.dev.xcit.org/api/v1/sessions/mmi-sf_v2021.03/start</v>
      </c>
    </row>
    <row r="25">
      <c r="A25" s="27" t="s">
        <v>246</v>
      </c>
      <c r="B25" s="26" t="s">
        <v>247</v>
      </c>
      <c r="C25" s="27" t="s">
        <v>248</v>
      </c>
      <c r="D25" s="26">
        <v>8</v>
      </c>
      <c r="E25" s="26">
        <v>1</v>
      </c>
      <c r="F25" s="27"/>
      <c r="G25" s="27"/>
      <c r="H25" s="27"/>
      <c r="I25" s="66">
        <v>0.059027777777777776</v>
      </c>
      <c r="J25" s="67" t="b">
        <v>1</v>
      </c>
      <c r="K25" s="68" t="str">
        <f t="shared" si="2"/>
        <v>https://sv.testing.dev.xcit.org/api/v1/sessions/x_mwds_v2021.03/start</v>
      </c>
    </row>
    <row r="26">
      <c r="A26" s="27" t="s">
        <v>249</v>
      </c>
      <c r="B26" s="26" t="s">
        <v>250</v>
      </c>
      <c r="C26" s="27" t="s">
        <v>251</v>
      </c>
      <c r="D26" s="26">
        <v>5</v>
      </c>
      <c r="E26" s="26">
        <v>0</v>
      </c>
      <c r="F26" s="26" t="s">
        <v>400</v>
      </c>
      <c r="G26" s="27"/>
      <c r="H26" s="27"/>
      <c r="I26" s="66">
        <v>0.020833333333333332</v>
      </c>
      <c r="J26" s="67" t="b">
        <v>1</v>
      </c>
      <c r="K26" s="68" t="str">
        <f t="shared" si="2"/>
        <v>https://sv.testing.dev.xcit.org/api/v1/sessions/x_mwq_v2021.03/start</v>
      </c>
      <c r="N26" s="28" t="s">
        <v>414</v>
      </c>
    </row>
    <row r="27">
      <c r="A27" s="27" t="s">
        <v>252</v>
      </c>
      <c r="B27" s="26" t="s">
        <v>253</v>
      </c>
      <c r="C27" s="27" t="s">
        <v>254</v>
      </c>
      <c r="D27" s="26">
        <v>6</v>
      </c>
      <c r="E27" s="26">
        <v>1</v>
      </c>
      <c r="F27" s="27"/>
      <c r="G27" s="27"/>
      <c r="H27" s="27"/>
      <c r="I27" s="66">
        <v>0.034722222222222224</v>
      </c>
      <c r="J27" s="67" t="b">
        <v>1</v>
      </c>
      <c r="K27" s="68" t="str">
        <f t="shared" si="2"/>
        <v>https://sv.testing.dev.xcit.org/api/v1/sessions/x_ncs-6_v2021.03/start</v>
      </c>
    </row>
    <row r="28">
      <c r="A28" s="75" t="s">
        <v>255</v>
      </c>
      <c r="B28" s="27" t="s">
        <v>255</v>
      </c>
      <c r="C28" s="27" t="s">
        <v>256</v>
      </c>
      <c r="D28" s="26">
        <v>18</v>
      </c>
      <c r="E28" s="26">
        <v>1</v>
      </c>
      <c r="F28" s="27"/>
      <c r="G28" s="27"/>
      <c r="H28" s="27"/>
      <c r="I28" s="66">
        <v>0.125</v>
      </c>
      <c r="J28" s="67" t="b">
        <v>1</v>
      </c>
      <c r="K28" s="68" t="str">
        <f t="shared" si="2"/>
        <v>https://sv.testing.dev.xcit.org/api/v1/sessions/psqi_v2021.03/start</v>
      </c>
      <c r="N28" s="74" t="s">
        <v>415</v>
      </c>
    </row>
    <row r="29">
      <c r="A29" s="69" t="s">
        <v>416</v>
      </c>
      <c r="B29" s="70" t="s">
        <v>416</v>
      </c>
      <c r="C29" s="70" t="s">
        <v>417</v>
      </c>
      <c r="D29" s="69">
        <v>19</v>
      </c>
      <c r="E29" s="69">
        <v>2</v>
      </c>
      <c r="F29" s="69" t="s">
        <v>418</v>
      </c>
      <c r="G29" s="69" t="s">
        <v>407</v>
      </c>
      <c r="H29" s="70"/>
      <c r="I29" s="71">
        <v>0.64583333333333337</v>
      </c>
      <c r="J29" s="72" t="b">
        <v>0</v>
      </c>
      <c r="K29" s="68" t="str">
        <f t="shared" si="2"/>
        <v>https://sv.testing.dev.xcit.org/api/v1/sessions/raven18_v2021.03/start</v>
      </c>
      <c r="L29" s="35"/>
      <c r="M29" s="35"/>
      <c r="N29" s="34" t="s">
        <v>419</v>
      </c>
      <c r="O29" s="35"/>
    </row>
    <row r="30">
      <c r="A30" s="26" t="s">
        <v>257</v>
      </c>
      <c r="B30" s="26" t="s">
        <v>258</v>
      </c>
      <c r="C30" s="27" t="s">
        <v>259</v>
      </c>
      <c r="D30" s="26">
        <v>40</v>
      </c>
      <c r="E30" s="26">
        <v>1</v>
      </c>
      <c r="F30" s="27"/>
      <c r="G30" s="27"/>
      <c r="H30" s="27"/>
      <c r="I30" s="66">
        <v>0.17499999999999999</v>
      </c>
      <c r="J30" s="67" t="b">
        <v>1</v>
      </c>
      <c r="K30" s="68" t="str">
        <f t="shared" si="2"/>
        <v>https://sv.testing.dev.xcit.org/api/v1/sessions/x_rei_v2021.03/start</v>
      </c>
    </row>
    <row r="31">
      <c r="A31" s="26" t="s">
        <v>260</v>
      </c>
      <c r="B31" s="27" t="s">
        <v>260</v>
      </c>
      <c r="C31" s="27" t="s">
        <v>261</v>
      </c>
      <c r="D31" s="26">
        <v>1</v>
      </c>
      <c r="E31" s="26">
        <v>0</v>
      </c>
      <c r="F31" s="27"/>
      <c r="G31" s="27"/>
      <c r="H31" s="27"/>
      <c r="I31" s="66">
        <v>0.020833333333333332</v>
      </c>
      <c r="J31" s="67" t="b">
        <v>1</v>
      </c>
      <c r="K31" s="68" t="str">
        <f t="shared" si="2"/>
        <v>https://sv.testing.dev.xcit.org/api/v1/sessions/sss_v2021.03/start</v>
      </c>
    </row>
    <row r="32">
      <c r="A32" s="27" t="s">
        <v>262</v>
      </c>
      <c r="B32" s="26" t="s">
        <v>263</v>
      </c>
      <c r="C32" s="27" t="s">
        <v>264</v>
      </c>
      <c r="D32" s="26">
        <v>20</v>
      </c>
      <c r="E32" s="26">
        <v>1</v>
      </c>
      <c r="F32" s="26" t="s">
        <v>420</v>
      </c>
      <c r="G32" s="27"/>
      <c r="H32" s="27"/>
      <c r="I32" s="66">
        <v>0.1076388888888889</v>
      </c>
      <c r="J32" s="67" t="b">
        <v>1</v>
      </c>
      <c r="K32" s="68" t="str">
        <f t="shared" si="2"/>
        <v>https://sv.testing.dev.xcit.org/api/v1/sessions/x_upps-sf_v2021.03/start</v>
      </c>
    </row>
    <row r="33">
      <c r="A33" s="26" t="s">
        <v>265</v>
      </c>
      <c r="B33" s="26" t="s">
        <v>266</v>
      </c>
      <c r="C33" s="27" t="s">
        <v>267</v>
      </c>
      <c r="D33" s="26">
        <v>6</v>
      </c>
      <c r="E33" s="26">
        <v>0</v>
      </c>
      <c r="F33" s="26" t="s">
        <v>400</v>
      </c>
      <c r="G33" s="27"/>
      <c r="H33" s="27"/>
      <c r="I33" s="66">
        <v>0.034722222222222224</v>
      </c>
      <c r="J33" s="67" t="b">
        <v>1</v>
      </c>
      <c r="K33" s="68" t="str">
        <f t="shared" si="2"/>
        <v>https://sv.testing.dev.xcit.org/api/v1/sessions/x_webexec-i_v2021.03/start</v>
      </c>
    </row>
    <row r="34">
      <c r="A34" s="27" t="s">
        <v>268</v>
      </c>
      <c r="B34" s="26" t="s">
        <v>269</v>
      </c>
      <c r="C34" s="27" t="s">
        <v>270</v>
      </c>
      <c r="D34" s="26">
        <v>5</v>
      </c>
      <c r="E34" s="26">
        <v>0</v>
      </c>
      <c r="F34" s="26" t="s">
        <v>400</v>
      </c>
      <c r="G34" s="27"/>
      <c r="H34" s="27"/>
      <c r="I34" s="66">
        <v>0.027777777777777776</v>
      </c>
      <c r="J34" s="67" t="b">
        <v>1</v>
      </c>
      <c r="K34" s="68" t="str">
        <f t="shared" si="2"/>
        <v>https://sv.testing.dev.xcit.org/api/v1/sessions/x_who5_v2021.03/start</v>
      </c>
    </row>
    <row r="35">
      <c r="A35" s="76"/>
      <c r="B35" s="77" t="s">
        <v>274</v>
      </c>
      <c r="C35" s="27"/>
      <c r="D35" s="26"/>
      <c r="E35" s="26"/>
      <c r="F35" s="26"/>
      <c r="G35" s="27"/>
      <c r="H35" s="27"/>
      <c r="I35" s="78">
        <v>0.28472222222222221</v>
      </c>
      <c r="J35" s="67" t="b">
        <v>1</v>
      </c>
      <c r="K35" s="68" t="str">
        <f t="shared" si="2"/>
        <v>https://sv.testing.dev.xcit.org/api/v1/sessions/xcit-background_v2021.03/start</v>
      </c>
    </row>
    <row r="36">
      <c r="A36" s="79" t="s">
        <v>421</v>
      </c>
      <c r="B36" s="80" t="s">
        <v>421</v>
      </c>
      <c r="C36" s="80" t="s">
        <v>422</v>
      </c>
      <c r="D36" s="81">
        <v>4</v>
      </c>
      <c r="E36" s="81">
        <v>0</v>
      </c>
      <c r="F36" s="81" t="s">
        <v>400</v>
      </c>
      <c r="G36" s="80"/>
      <c r="H36" s="80"/>
      <c r="I36" s="82">
        <v>0.083333333333333329</v>
      </c>
      <c r="J36" s="67" t="b">
        <v>1</v>
      </c>
      <c r="K36" s="68" t="str">
        <f t="shared" si="2"/>
        <v>https://sv.testing.dev.xcit.org/api/v1/sessions/xcit-education_v2021.03/start</v>
      </c>
      <c r="L36" s="83"/>
      <c r="M36" s="83"/>
      <c r="N36" s="83"/>
      <c r="O36" s="84"/>
    </row>
    <row r="37">
      <c r="A37" s="85" t="s">
        <v>423</v>
      </c>
      <c r="B37" s="26" t="s">
        <v>423</v>
      </c>
      <c r="C37" s="26" t="s">
        <v>424</v>
      </c>
      <c r="D37" s="26">
        <v>3</v>
      </c>
      <c r="E37" s="26">
        <v>0</v>
      </c>
      <c r="F37" s="26"/>
      <c r="G37" s="27"/>
      <c r="H37" s="27"/>
      <c r="I37" s="66">
        <v>0.013888888888888888</v>
      </c>
      <c r="J37" s="67" t="b">
        <v>1</v>
      </c>
      <c r="K37" s="68" t="str">
        <f t="shared" si="2"/>
        <v>https://sv.testing.dev.xcit.org/api/v1/sessions/xcit-language_v2021.03/start</v>
      </c>
      <c r="O37" s="86"/>
    </row>
    <row r="38">
      <c r="A38" s="87" t="s">
        <v>425</v>
      </c>
      <c r="B38" s="27" t="s">
        <v>425</v>
      </c>
      <c r="C38" s="27" t="s">
        <v>426</v>
      </c>
      <c r="D38" s="26">
        <v>2</v>
      </c>
      <c r="E38" s="26">
        <v>0</v>
      </c>
      <c r="F38" s="88" t="s">
        <v>427</v>
      </c>
      <c r="G38" s="27"/>
      <c r="H38" s="27"/>
      <c r="I38" s="66">
        <v>0.013888888888888888</v>
      </c>
      <c r="J38" s="67" t="b">
        <v>1</v>
      </c>
      <c r="K38" s="68" t="str">
        <f t="shared" si="2"/>
        <v>https://sv.testing.dev.xcit.org/api/v1/sessions/xcit-income_v2021.03/start</v>
      </c>
      <c r="O38" s="86"/>
    </row>
    <row r="39">
      <c r="A39" s="87" t="s">
        <v>428</v>
      </c>
      <c r="B39" s="27" t="s">
        <v>428</v>
      </c>
      <c r="C39" s="27" t="s">
        <v>429</v>
      </c>
      <c r="D39" s="26">
        <v>2</v>
      </c>
      <c r="E39" s="26">
        <v>0</v>
      </c>
      <c r="F39" s="27"/>
      <c r="G39" s="27"/>
      <c r="H39" s="27"/>
      <c r="I39" s="66">
        <v>0.034722222222222224</v>
      </c>
      <c r="J39" s="67" t="b">
        <v>1</v>
      </c>
      <c r="K39" s="68" t="str">
        <f t="shared" si="2"/>
        <v>https://sv.testing.dev.xcit.org/api/v1/sessions/xcit-occupation_v2021.03/start</v>
      </c>
      <c r="O39" s="86"/>
    </row>
    <row r="40">
      <c r="A40" s="87" t="s">
        <v>430</v>
      </c>
      <c r="B40" s="27" t="s">
        <v>430</v>
      </c>
      <c r="C40" s="27" t="s">
        <v>431</v>
      </c>
      <c r="D40" s="26">
        <v>1</v>
      </c>
      <c r="E40" s="26">
        <v>0</v>
      </c>
      <c r="F40" s="26" t="s">
        <v>432</v>
      </c>
      <c r="G40" s="27"/>
      <c r="H40" s="27"/>
      <c r="I40" s="66">
        <v>0.027777777777777776</v>
      </c>
      <c r="J40" s="67" t="b">
        <v>1</v>
      </c>
      <c r="K40" s="68" t="str">
        <f t="shared" si="2"/>
        <v>https://sv.testing.dev.xcit.org/api/v1/sessions/xcit-ses_v2021.03/start</v>
      </c>
      <c r="O40" s="86"/>
    </row>
    <row r="41">
      <c r="A41" s="89" t="s">
        <v>433</v>
      </c>
      <c r="B41" s="90" t="s">
        <v>433</v>
      </c>
      <c r="C41" s="91" t="s">
        <v>434</v>
      </c>
      <c r="D41" s="91">
        <v>8</v>
      </c>
      <c r="E41" s="91">
        <v>0</v>
      </c>
      <c r="F41" s="91" t="s">
        <v>435</v>
      </c>
      <c r="G41" s="91"/>
      <c r="H41" s="91"/>
      <c r="I41" s="92">
        <v>0.083333333333333329</v>
      </c>
      <c r="J41" s="67" t="b">
        <v>1</v>
      </c>
      <c r="K41" s="68" t="str">
        <f t="shared" si="2"/>
        <v>https://sv.testing.dev.xcit.org/api/v1/sessions/xcit-common_v2021.03/start</v>
      </c>
      <c r="L41" s="93"/>
      <c r="M41" s="93"/>
      <c r="N41" s="93"/>
      <c r="O41" s="94"/>
    </row>
    <row r="42">
      <c r="A42" s="26" t="s">
        <v>280</v>
      </c>
      <c r="B42" s="26" t="s">
        <v>280</v>
      </c>
      <c r="C42" s="27" t="s">
        <v>281</v>
      </c>
      <c r="D42" s="27">
        <v>6</v>
      </c>
      <c r="E42" s="27">
        <v>1</v>
      </c>
      <c r="F42" s="27" t="s">
        <v>282</v>
      </c>
      <c r="I42" s="95">
        <v>0.076388888888888895</v>
      </c>
      <c r="J42" s="67" t="b">
        <v>1</v>
      </c>
      <c r="K42" s="68" t="str">
        <f t="shared" si="2"/>
        <v>https://sv.testing.dev.xcit.org/api/v1/sessions/xcit-pre_v2021.03/start</v>
      </c>
    </row>
    <row r="43">
      <c r="A43" s="26" t="s">
        <v>283</v>
      </c>
      <c r="B43" s="26" t="s">
        <v>284</v>
      </c>
      <c r="C43" s="27" t="s">
        <v>285</v>
      </c>
      <c r="D43" s="27">
        <v>13</v>
      </c>
      <c r="E43" s="27">
        <v>1</v>
      </c>
      <c r="F43" s="27" t="s">
        <v>286</v>
      </c>
      <c r="I43" s="95">
        <v>0.0625</v>
      </c>
      <c r="J43" s="67" t="b">
        <v>1</v>
      </c>
      <c r="K43" s="68" t="str">
        <f t="shared" si="2"/>
        <v>https://sv.testing.dev.xcit.org/api/v1/sessions/xcit-post_v2021.03/start</v>
      </c>
    </row>
    <row r="44">
      <c r="A44" s="27" t="s">
        <v>271</v>
      </c>
      <c r="B44" s="27" t="s">
        <v>271</v>
      </c>
      <c r="C44" s="27" t="s">
        <v>272</v>
      </c>
      <c r="D44" s="27">
        <v>6</v>
      </c>
      <c r="E44" s="27">
        <v>1</v>
      </c>
      <c r="F44" s="28" t="s">
        <v>436</v>
      </c>
      <c r="I44" s="95">
        <v>0.090277777777777776</v>
      </c>
      <c r="J44" s="67" t="b">
        <v>1</v>
      </c>
      <c r="K44" s="68" t="str">
        <f t="shared" si="2"/>
        <v>https://sv.testing.dev.xcit.org/api/v1/sessions/xcit-typing_v2021.03/start</v>
      </c>
    </row>
    <row r="45">
      <c r="D45" s="41">
        <f t="shared" ref="D45:E45" si="3">sum(D2:D44)</f>
        <v>579</v>
      </c>
      <c r="E45" s="41">
        <f t="shared" si="3"/>
        <v>40</v>
      </c>
    </row>
    <row r="46">
      <c r="C46" s="29" t="s">
        <v>437</v>
      </c>
      <c r="D46" s="41">
        <f>D45+E45-19-2-16-7-14 + 12 * 21</f>
        <v>813</v>
      </c>
    </row>
    <row r="47">
      <c r="C47" s="29" t="s">
        <v>438</v>
      </c>
      <c r="D47" s="41">
        <f>D46*4/60</f>
        <v>54.200000000000003</v>
      </c>
    </row>
  </sheetData>
  <hyperlinks>
    <hyperlink r:id="rId1" ref="B35"/>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1" operator="equal" id="{008700C4-00B2-4472-B5B4-00C700D00000}">
            <xm:f>"TRUE"</xm:f>
            <x14:dxf>
              <font/>
              <fill>
                <patternFill patternType="solid">
                  <fgColor rgb="FFB7E1CD"/>
                  <bgColor rgb="FFB7E1CD"/>
                </patternFill>
              </fill>
              <border>
                <left/>
                <right/>
                <top/>
                <bottom/>
                <diagonal/>
              </border>
            </x14:dxf>
          </x14:cfRule>
          <xm:sqref>J2:J44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sheetData>
    <row r="2">
      <c r="A2" s="28" t="s">
        <v>180</v>
      </c>
      <c r="B2" s="28" t="s">
        <v>287</v>
      </c>
      <c r="C2" s="28" t="s">
        <v>3</v>
      </c>
      <c r="E2" s="28" t="s">
        <v>287</v>
      </c>
      <c r="F2" s="28" t="s">
        <v>288</v>
      </c>
      <c r="G2" s="28" t="s">
        <v>289</v>
      </c>
    </row>
    <row r="3">
      <c r="A3" s="28" t="s">
        <v>291</v>
      </c>
      <c r="B3" s="28">
        <v>1</v>
      </c>
      <c r="C3" s="41">
        <v>1</v>
      </c>
      <c r="E3" s="28">
        <v>1</v>
      </c>
      <c r="F3" s="41">
        <f>SUMIF($B$3:$B$65, "=1",$C$3:$C$65)</f>
        <v>72</v>
      </c>
      <c r="G3" s="41">
        <f t="shared" ref="G3:G12" si="4">Round(F3/60,2)</f>
        <v>1.2</v>
      </c>
    </row>
    <row r="4">
      <c r="A4" s="28" t="s">
        <v>321</v>
      </c>
      <c r="B4" s="28">
        <v>1</v>
      </c>
      <c r="C4" s="41">
        <v>8</v>
      </c>
      <c r="E4" s="28">
        <v>2</v>
      </c>
      <c r="F4" s="41">
        <f>SUMIF($B$3:$B$65, "=2",$C$3:$C$65)</f>
        <v>67</v>
      </c>
      <c r="G4" s="41">
        <f t="shared" si="4"/>
        <v>1.1200000000000001</v>
      </c>
    </row>
    <row r="5">
      <c r="A5" s="28" t="s">
        <v>353</v>
      </c>
      <c r="B5" s="28">
        <v>1</v>
      </c>
      <c r="C5" s="41">
        <v>20</v>
      </c>
      <c r="E5" s="28">
        <v>3</v>
      </c>
      <c r="F5" s="41">
        <f>SUMIF($B$3:$B$65, "=3",$C$3:$C$65)</f>
        <v>64</v>
      </c>
      <c r="G5" s="41">
        <f t="shared" si="4"/>
        <v>1.0700000000000001</v>
      </c>
    </row>
    <row r="6">
      <c r="A6" s="28" t="s">
        <v>292</v>
      </c>
      <c r="B6" s="28">
        <v>1</v>
      </c>
      <c r="C6" s="41">
        <v>32</v>
      </c>
      <c r="E6" s="28">
        <v>4</v>
      </c>
      <c r="F6" s="41">
        <f>SUMIF($B$3:$B$65, "=4",$C$3:$C$65)</f>
        <v>68</v>
      </c>
      <c r="G6" s="41">
        <f t="shared" si="4"/>
        <v>1.1299999999999999</v>
      </c>
    </row>
    <row r="7">
      <c r="A7" s="28" t="s">
        <v>305</v>
      </c>
      <c r="B7" s="28">
        <v>3</v>
      </c>
      <c r="C7" s="41">
        <v>2</v>
      </c>
      <c r="E7" s="28">
        <v>5</v>
      </c>
      <c r="F7" s="41">
        <f>SUMIF($B$3:$B$65, "=5",$C$3:$C$65)</f>
        <v>65</v>
      </c>
      <c r="G7" s="41">
        <f t="shared" si="4"/>
        <v>1.0800000000000001</v>
      </c>
    </row>
    <row r="8">
      <c r="A8" s="28" t="s">
        <v>306</v>
      </c>
      <c r="B8" s="28">
        <v>3</v>
      </c>
      <c r="C8" s="41">
        <v>3</v>
      </c>
      <c r="E8" s="28">
        <v>6</v>
      </c>
      <c r="F8" s="41">
        <f>SUMIF($B$3:$B$65, "=6",$C$3:$C$65)</f>
        <v>69</v>
      </c>
      <c r="G8" s="41">
        <f t="shared" si="4"/>
        <v>1.1499999999999999</v>
      </c>
    </row>
    <row r="9">
      <c r="A9" s="28" t="s">
        <v>336</v>
      </c>
      <c r="B9" s="28">
        <v>1</v>
      </c>
      <c r="C9" s="41">
        <v>11</v>
      </c>
      <c r="E9" s="28">
        <v>7</v>
      </c>
      <c r="F9" s="41">
        <f>SUMIF($B$3:$B$65, "=7",$C$3:$C$65)</f>
        <v>66</v>
      </c>
      <c r="G9" s="41">
        <f t="shared" si="4"/>
        <v>1.1000000000000001</v>
      </c>
    </row>
    <row r="10">
      <c r="A10" s="28" t="s">
        <v>297</v>
      </c>
      <c r="B10" s="28">
        <v>2</v>
      </c>
      <c r="C10" s="41">
        <v>3</v>
      </c>
      <c r="E10" s="28">
        <v>8</v>
      </c>
      <c r="F10" s="41">
        <f>SUMIF($B$3:$B$65, "=8",$C$3:$C$65)</f>
        <v>70</v>
      </c>
      <c r="G10" s="41">
        <f t="shared" si="4"/>
        <v>1.1699999999999999</v>
      </c>
    </row>
    <row r="11">
      <c r="A11" s="28" t="s">
        <v>322</v>
      </c>
      <c r="B11" s="28">
        <v>2</v>
      </c>
      <c r="C11" s="41">
        <v>15</v>
      </c>
      <c r="E11" s="28">
        <v>9</v>
      </c>
      <c r="F11" s="41">
        <f>SUMIF($B$3:$B$65, "=9",$C$3:$C$65)</f>
        <v>68</v>
      </c>
      <c r="G11" s="41">
        <f t="shared" si="4"/>
        <v>1.1299999999999999</v>
      </c>
    </row>
    <row r="12">
      <c r="A12" s="28" t="s">
        <v>301</v>
      </c>
      <c r="B12" s="28">
        <v>2</v>
      </c>
      <c r="C12" s="41">
        <v>25</v>
      </c>
      <c r="E12" s="28">
        <v>10</v>
      </c>
      <c r="F12" s="41">
        <f>SUMIF($B$3:$B$65, "=10",$C$3:$C$65)</f>
        <v>68</v>
      </c>
      <c r="G12" s="41">
        <f t="shared" si="4"/>
        <v>1.1299999999999999</v>
      </c>
    </row>
    <row r="13">
      <c r="A13" s="28" t="s">
        <v>299</v>
      </c>
      <c r="B13" s="28">
        <v>2</v>
      </c>
      <c r="C13" s="41">
        <v>2</v>
      </c>
      <c r="G13" s="43"/>
    </row>
    <row r="14">
      <c r="A14" s="28" t="s">
        <v>333</v>
      </c>
      <c r="B14" s="28">
        <v>2</v>
      </c>
      <c r="C14" s="41">
        <v>1</v>
      </c>
      <c r="E14" s="29" t="s">
        <v>302</v>
      </c>
      <c r="F14" s="43">
        <f>sum(F3:F12)</f>
        <v>677</v>
      </c>
    </row>
    <row r="15">
      <c r="A15" s="28" t="s">
        <v>320</v>
      </c>
      <c r="B15" s="28">
        <v>2</v>
      </c>
      <c r="C15" s="41">
        <v>10</v>
      </c>
    </row>
    <row r="16">
      <c r="A16" s="28" t="s">
        <v>307</v>
      </c>
      <c r="B16" s="28">
        <v>3</v>
      </c>
      <c r="C16" s="41">
        <v>8</v>
      </c>
    </row>
    <row r="17">
      <c r="A17" s="28" t="s">
        <v>308</v>
      </c>
      <c r="B17" s="28">
        <v>3</v>
      </c>
      <c r="C17" s="41">
        <v>17</v>
      </c>
    </row>
    <row r="18">
      <c r="A18" s="28" t="s">
        <v>309</v>
      </c>
      <c r="B18" s="28">
        <v>3</v>
      </c>
      <c r="C18" s="41">
        <v>1</v>
      </c>
      <c r="H18" s="28" t="s">
        <v>291</v>
      </c>
      <c r="I18" s="28" t="s">
        <v>439</v>
      </c>
      <c r="J18" s="28">
        <v>0</v>
      </c>
      <c r="K18" s="28">
        <v>1</v>
      </c>
      <c r="L18" s="41">
        <f t="shared" ref="L18:L80" si="5">K18-J18</f>
        <v>1</v>
      </c>
      <c r="M18" s="41">
        <v>1</v>
      </c>
    </row>
    <row r="19">
      <c r="A19" s="28" t="s">
        <v>310</v>
      </c>
      <c r="B19" s="28">
        <v>3</v>
      </c>
      <c r="C19" s="41">
        <v>3</v>
      </c>
      <c r="H19" s="28" t="s">
        <v>321</v>
      </c>
      <c r="I19" s="28" t="s">
        <v>439</v>
      </c>
      <c r="J19" s="28">
        <v>6</v>
      </c>
      <c r="K19" s="28">
        <v>14</v>
      </c>
      <c r="L19" s="41">
        <f t="shared" si="5"/>
        <v>8</v>
      </c>
      <c r="M19" s="41">
        <v>8</v>
      </c>
    </row>
    <row r="20">
      <c r="A20" s="28" t="s">
        <v>311</v>
      </c>
      <c r="B20" s="28">
        <v>3</v>
      </c>
      <c r="C20" s="41">
        <v>4</v>
      </c>
      <c r="H20" s="28" t="s">
        <v>353</v>
      </c>
      <c r="I20" s="28" t="s">
        <v>439</v>
      </c>
      <c r="J20" s="28">
        <v>25</v>
      </c>
      <c r="K20" s="28">
        <v>45</v>
      </c>
      <c r="L20" s="41">
        <f t="shared" si="5"/>
        <v>20</v>
      </c>
      <c r="M20" s="41">
        <v>20</v>
      </c>
    </row>
    <row r="21">
      <c r="A21" s="28" t="s">
        <v>312</v>
      </c>
      <c r="B21" s="28">
        <v>3</v>
      </c>
      <c r="C21" s="41">
        <v>26</v>
      </c>
      <c r="H21" s="28" t="s">
        <v>292</v>
      </c>
      <c r="I21" s="28" t="s">
        <v>439</v>
      </c>
      <c r="J21" s="28">
        <v>45</v>
      </c>
      <c r="K21" s="28">
        <v>77</v>
      </c>
      <c r="L21" s="41">
        <f t="shared" si="5"/>
        <v>32</v>
      </c>
      <c r="M21" s="41">
        <v>32</v>
      </c>
    </row>
    <row r="22">
      <c r="A22" s="28" t="s">
        <v>315</v>
      </c>
      <c r="B22" s="28">
        <v>4</v>
      </c>
      <c r="C22" s="41">
        <v>15</v>
      </c>
      <c r="H22" s="28" t="s">
        <v>305</v>
      </c>
      <c r="I22" s="28" t="s">
        <v>439</v>
      </c>
      <c r="J22" s="28">
        <v>1</v>
      </c>
      <c r="K22" s="28">
        <v>3</v>
      </c>
      <c r="L22" s="41">
        <f t="shared" si="5"/>
        <v>2</v>
      </c>
      <c r="M22" s="41">
        <v>2</v>
      </c>
    </row>
    <row r="23">
      <c r="A23" s="28" t="s">
        <v>316</v>
      </c>
      <c r="B23" s="28">
        <v>4</v>
      </c>
      <c r="C23" s="41">
        <v>1</v>
      </c>
      <c r="H23" s="28" t="s">
        <v>306</v>
      </c>
      <c r="I23" s="28" t="s">
        <v>439</v>
      </c>
      <c r="J23" s="28">
        <v>3</v>
      </c>
      <c r="K23" s="28">
        <v>6</v>
      </c>
      <c r="L23" s="41">
        <f t="shared" si="5"/>
        <v>3</v>
      </c>
      <c r="M23" s="41">
        <v>3</v>
      </c>
    </row>
    <row r="24">
      <c r="A24" s="28" t="s">
        <v>317</v>
      </c>
      <c r="B24" s="28">
        <v>4</v>
      </c>
      <c r="C24" s="41">
        <v>50</v>
      </c>
      <c r="H24" s="28" t="s">
        <v>336</v>
      </c>
      <c r="I24" s="28" t="s">
        <v>439</v>
      </c>
      <c r="J24" s="28">
        <v>14</v>
      </c>
      <c r="K24" s="28">
        <v>25</v>
      </c>
      <c r="L24" s="41">
        <f t="shared" si="5"/>
        <v>11</v>
      </c>
      <c r="M24" s="41">
        <v>11</v>
      </c>
    </row>
    <row r="25">
      <c r="A25" s="28" t="s">
        <v>298</v>
      </c>
      <c r="B25" s="28">
        <v>2</v>
      </c>
      <c r="C25" s="41">
        <v>11</v>
      </c>
      <c r="H25" s="28" t="s">
        <v>297</v>
      </c>
      <c r="I25" s="28" t="s">
        <v>440</v>
      </c>
      <c r="J25" s="28">
        <v>3</v>
      </c>
      <c r="K25" s="28">
        <v>6</v>
      </c>
      <c r="L25" s="41">
        <f t="shared" si="5"/>
        <v>3</v>
      </c>
      <c r="M25" s="41">
        <v>3</v>
      </c>
    </row>
    <row r="26">
      <c r="A26" s="28" t="s">
        <v>324</v>
      </c>
      <c r="B26" s="28">
        <v>6</v>
      </c>
      <c r="C26" s="41">
        <v>3</v>
      </c>
      <c r="H26" s="28" t="s">
        <v>322</v>
      </c>
      <c r="I26" s="28" t="s">
        <v>440</v>
      </c>
      <c r="J26" s="28">
        <v>16</v>
      </c>
      <c r="K26" s="28">
        <v>31</v>
      </c>
      <c r="L26" s="41">
        <f t="shared" si="5"/>
        <v>15</v>
      </c>
      <c r="M26" s="41">
        <v>15</v>
      </c>
    </row>
    <row r="27">
      <c r="A27" s="28" t="s">
        <v>314</v>
      </c>
      <c r="B27" s="28">
        <v>4</v>
      </c>
      <c r="C27" s="41">
        <v>2</v>
      </c>
      <c r="H27" s="28" t="s">
        <v>301</v>
      </c>
      <c r="I27" s="28" t="s">
        <v>440</v>
      </c>
      <c r="J27" s="28">
        <v>31</v>
      </c>
      <c r="K27" s="28">
        <v>56</v>
      </c>
      <c r="L27" s="41">
        <f t="shared" si="5"/>
        <v>25</v>
      </c>
      <c r="M27" s="41">
        <v>25</v>
      </c>
    </row>
    <row r="28">
      <c r="A28" s="28" t="s">
        <v>325</v>
      </c>
      <c r="B28" s="28">
        <v>6</v>
      </c>
      <c r="C28" s="41">
        <v>4</v>
      </c>
      <c r="H28" s="28" t="s">
        <v>299</v>
      </c>
      <c r="I28" s="28" t="s">
        <v>440</v>
      </c>
      <c r="J28" s="28">
        <v>1</v>
      </c>
      <c r="K28" s="28">
        <v>3</v>
      </c>
      <c r="L28" s="41">
        <f t="shared" si="5"/>
        <v>2</v>
      </c>
      <c r="M28" s="41">
        <v>2</v>
      </c>
    </row>
    <row r="29">
      <c r="A29" s="28" t="s">
        <v>304</v>
      </c>
      <c r="B29" s="28">
        <v>5</v>
      </c>
      <c r="C29" s="41">
        <v>1</v>
      </c>
      <c r="H29" s="28" t="s">
        <v>333</v>
      </c>
      <c r="I29" s="28" t="s">
        <v>440</v>
      </c>
      <c r="J29" s="28">
        <v>0</v>
      </c>
      <c r="K29" s="28">
        <v>1</v>
      </c>
      <c r="L29" s="41">
        <f t="shared" si="5"/>
        <v>1</v>
      </c>
      <c r="M29" s="41">
        <v>1</v>
      </c>
    </row>
    <row r="30">
      <c r="A30" s="28" t="s">
        <v>303</v>
      </c>
      <c r="B30" s="28">
        <v>5</v>
      </c>
      <c r="C30" s="41">
        <v>10</v>
      </c>
      <c r="H30" s="28" t="s">
        <v>320</v>
      </c>
      <c r="I30" s="28" t="s">
        <v>440</v>
      </c>
      <c r="J30" s="28">
        <v>6</v>
      </c>
      <c r="K30" s="28">
        <v>16</v>
      </c>
      <c r="L30" s="41">
        <f t="shared" si="5"/>
        <v>10</v>
      </c>
      <c r="M30" s="41">
        <v>10</v>
      </c>
    </row>
    <row r="31">
      <c r="A31" s="28" t="s">
        <v>300</v>
      </c>
      <c r="B31" s="28">
        <v>5</v>
      </c>
      <c r="C31" s="41">
        <v>15</v>
      </c>
      <c r="H31" s="28" t="s">
        <v>307</v>
      </c>
      <c r="I31" s="28" t="s">
        <v>441</v>
      </c>
      <c r="J31" s="28">
        <v>8</v>
      </c>
      <c r="K31" s="28">
        <v>16</v>
      </c>
      <c r="L31" s="41">
        <f t="shared" si="5"/>
        <v>8</v>
      </c>
      <c r="M31" s="41">
        <v>8</v>
      </c>
    </row>
    <row r="32">
      <c r="A32" s="28" t="s">
        <v>293</v>
      </c>
      <c r="B32" s="28">
        <v>5</v>
      </c>
      <c r="C32" s="41">
        <v>4</v>
      </c>
      <c r="H32" s="28" t="s">
        <v>308</v>
      </c>
      <c r="I32" s="28" t="s">
        <v>441</v>
      </c>
      <c r="J32" s="28">
        <v>16</v>
      </c>
      <c r="K32" s="28">
        <v>33</v>
      </c>
      <c r="L32" s="41">
        <f t="shared" si="5"/>
        <v>17</v>
      </c>
      <c r="M32" s="41">
        <v>17</v>
      </c>
    </row>
    <row r="33">
      <c r="A33" s="28" t="s">
        <v>323</v>
      </c>
      <c r="B33" s="28">
        <v>5</v>
      </c>
      <c r="C33" s="41">
        <v>26</v>
      </c>
      <c r="H33" s="28" t="s">
        <v>309</v>
      </c>
      <c r="I33" s="28" t="s">
        <v>441</v>
      </c>
      <c r="J33" s="28">
        <v>0</v>
      </c>
      <c r="K33" s="28">
        <v>1</v>
      </c>
      <c r="L33" s="41">
        <f t="shared" si="5"/>
        <v>1</v>
      </c>
      <c r="M33" s="41">
        <v>1</v>
      </c>
    </row>
    <row r="34">
      <c r="A34" s="28" t="s">
        <v>319</v>
      </c>
      <c r="B34" s="28">
        <v>5</v>
      </c>
      <c r="C34" s="41">
        <v>3</v>
      </c>
      <c r="H34" s="28" t="s">
        <v>310</v>
      </c>
      <c r="I34" s="28" t="s">
        <v>441</v>
      </c>
      <c r="J34" s="28">
        <v>1</v>
      </c>
      <c r="K34" s="28">
        <v>4</v>
      </c>
      <c r="L34" s="41">
        <f t="shared" si="5"/>
        <v>3</v>
      </c>
      <c r="M34" s="41">
        <v>3</v>
      </c>
    </row>
    <row r="35">
      <c r="A35" s="28" t="s">
        <v>347</v>
      </c>
      <c r="B35" s="28">
        <v>6</v>
      </c>
      <c r="C35" s="41">
        <v>16</v>
      </c>
      <c r="H35" s="28" t="s">
        <v>311</v>
      </c>
      <c r="I35" s="28" t="s">
        <v>441</v>
      </c>
      <c r="J35" s="28">
        <v>4</v>
      </c>
      <c r="K35" s="28">
        <v>8</v>
      </c>
      <c r="L35" s="41">
        <f t="shared" si="5"/>
        <v>4</v>
      </c>
      <c r="M35" s="41">
        <v>4</v>
      </c>
    </row>
    <row r="36">
      <c r="A36" s="28" t="s">
        <v>327</v>
      </c>
      <c r="B36" s="28">
        <v>6</v>
      </c>
      <c r="C36" s="41">
        <v>10</v>
      </c>
      <c r="H36" s="28" t="s">
        <v>312</v>
      </c>
      <c r="I36" s="28" t="s">
        <v>441</v>
      </c>
      <c r="J36" s="28">
        <v>33</v>
      </c>
      <c r="K36" s="28">
        <v>59</v>
      </c>
      <c r="L36" s="41">
        <f t="shared" si="5"/>
        <v>26</v>
      </c>
      <c r="M36" s="41">
        <v>26</v>
      </c>
    </row>
    <row r="37">
      <c r="A37" s="28" t="s">
        <v>296</v>
      </c>
      <c r="B37" s="28">
        <v>6</v>
      </c>
      <c r="C37" s="41">
        <v>1</v>
      </c>
      <c r="H37" s="28" t="s">
        <v>315</v>
      </c>
      <c r="I37" s="28" t="s">
        <v>442</v>
      </c>
      <c r="J37" s="28">
        <v>21</v>
      </c>
      <c r="K37" s="28">
        <v>36</v>
      </c>
      <c r="L37" s="41">
        <f t="shared" si="5"/>
        <v>15</v>
      </c>
      <c r="M37" s="41">
        <v>15</v>
      </c>
    </row>
    <row r="38">
      <c r="A38" s="28" t="s">
        <v>326</v>
      </c>
      <c r="B38" s="28">
        <v>6</v>
      </c>
      <c r="C38" s="41">
        <v>26</v>
      </c>
      <c r="H38" s="28" t="s">
        <v>316</v>
      </c>
      <c r="I38" s="28" t="s">
        <v>442</v>
      </c>
      <c r="J38" s="28">
        <v>0</v>
      </c>
      <c r="K38" s="28">
        <v>1</v>
      </c>
      <c r="L38" s="41">
        <f t="shared" si="5"/>
        <v>1</v>
      </c>
      <c r="M38" s="41">
        <v>1</v>
      </c>
    </row>
    <row r="39">
      <c r="A39" s="28" t="s">
        <v>328</v>
      </c>
      <c r="B39" s="28">
        <v>6</v>
      </c>
      <c r="C39" s="41">
        <v>4</v>
      </c>
      <c r="H39" s="28" t="s">
        <v>317</v>
      </c>
      <c r="I39" s="28" t="s">
        <v>442</v>
      </c>
      <c r="J39" s="28">
        <v>36</v>
      </c>
      <c r="K39" s="28">
        <v>86</v>
      </c>
      <c r="L39" s="41">
        <f t="shared" si="5"/>
        <v>50</v>
      </c>
      <c r="M39" s="41">
        <v>50</v>
      </c>
    </row>
    <row r="40">
      <c r="A40" s="28" t="s">
        <v>329</v>
      </c>
      <c r="B40" s="28">
        <v>6</v>
      </c>
      <c r="C40" s="41">
        <v>2</v>
      </c>
      <c r="H40" s="28" t="s">
        <v>298</v>
      </c>
      <c r="I40" s="28" t="s">
        <v>442</v>
      </c>
      <c r="J40" s="28">
        <v>10</v>
      </c>
      <c r="K40" s="28">
        <v>21</v>
      </c>
      <c r="L40" s="41">
        <f t="shared" si="5"/>
        <v>11</v>
      </c>
      <c r="M40" s="41">
        <v>11</v>
      </c>
    </row>
    <row r="41">
      <c r="A41" s="28" t="s">
        <v>341</v>
      </c>
      <c r="B41" s="28">
        <v>8</v>
      </c>
      <c r="C41" s="41">
        <v>15</v>
      </c>
      <c r="H41" s="28" t="s">
        <v>324</v>
      </c>
      <c r="I41" s="28" t="s">
        <v>442</v>
      </c>
      <c r="J41" s="28">
        <v>3</v>
      </c>
      <c r="K41" s="28">
        <v>6</v>
      </c>
      <c r="L41" s="41">
        <f t="shared" si="5"/>
        <v>3</v>
      </c>
      <c r="M41" s="41">
        <v>3</v>
      </c>
    </row>
    <row r="42">
      <c r="A42" s="28" t="s">
        <v>295</v>
      </c>
      <c r="B42" s="28">
        <v>7</v>
      </c>
      <c r="C42" s="41">
        <v>10</v>
      </c>
      <c r="H42" s="28" t="s">
        <v>314</v>
      </c>
      <c r="I42" s="28" t="s">
        <v>442</v>
      </c>
      <c r="J42" s="28">
        <v>1</v>
      </c>
      <c r="K42" s="28">
        <v>3</v>
      </c>
      <c r="L42" s="41">
        <f t="shared" si="5"/>
        <v>2</v>
      </c>
      <c r="M42" s="41">
        <v>2</v>
      </c>
    </row>
    <row r="43">
      <c r="A43" s="28" t="s">
        <v>334</v>
      </c>
      <c r="B43" s="28">
        <v>7</v>
      </c>
      <c r="C43" s="41">
        <v>5</v>
      </c>
      <c r="H43" s="28" t="s">
        <v>325</v>
      </c>
      <c r="I43" s="28" t="s">
        <v>442</v>
      </c>
      <c r="J43" s="28">
        <v>6</v>
      </c>
      <c r="K43" s="28">
        <v>10</v>
      </c>
      <c r="L43" s="41">
        <f t="shared" si="5"/>
        <v>4</v>
      </c>
      <c r="M43" s="41">
        <v>4</v>
      </c>
    </row>
    <row r="44">
      <c r="A44" s="28" t="s">
        <v>335</v>
      </c>
      <c r="B44" s="28">
        <v>7</v>
      </c>
      <c r="C44" s="41">
        <v>1</v>
      </c>
      <c r="H44" s="28" t="s">
        <v>304</v>
      </c>
      <c r="I44" s="28" t="s">
        <v>443</v>
      </c>
      <c r="J44" s="28">
        <v>0</v>
      </c>
      <c r="K44" s="28">
        <v>1</v>
      </c>
      <c r="L44" s="41">
        <f t="shared" si="5"/>
        <v>1</v>
      </c>
      <c r="M44" s="41">
        <v>1</v>
      </c>
    </row>
    <row r="45">
      <c r="A45" s="28" t="s">
        <v>332</v>
      </c>
      <c r="B45" s="28">
        <v>7</v>
      </c>
      <c r="C45" s="41">
        <v>25</v>
      </c>
      <c r="H45" s="28" t="s">
        <v>303</v>
      </c>
      <c r="I45" s="28" t="s">
        <v>443</v>
      </c>
      <c r="J45" s="28">
        <v>8</v>
      </c>
      <c r="K45" s="28">
        <v>18</v>
      </c>
      <c r="L45" s="41">
        <f t="shared" si="5"/>
        <v>10</v>
      </c>
      <c r="M45" s="41">
        <v>10</v>
      </c>
    </row>
    <row r="46">
      <c r="A46" s="28" t="s">
        <v>337</v>
      </c>
      <c r="B46" s="28">
        <v>7</v>
      </c>
      <c r="C46" s="41">
        <v>3</v>
      </c>
      <c r="H46" s="28" t="s">
        <v>300</v>
      </c>
      <c r="I46" s="28" t="s">
        <v>443</v>
      </c>
      <c r="J46" s="28">
        <v>18</v>
      </c>
      <c r="K46" s="28">
        <v>33</v>
      </c>
      <c r="L46" s="41">
        <f t="shared" si="5"/>
        <v>15</v>
      </c>
      <c r="M46" s="41">
        <v>15</v>
      </c>
    </row>
    <row r="47">
      <c r="A47" s="28" t="s">
        <v>294</v>
      </c>
      <c r="B47" s="28">
        <v>7</v>
      </c>
      <c r="C47" s="41">
        <v>22</v>
      </c>
      <c r="H47" s="28" t="s">
        <v>293</v>
      </c>
      <c r="I47" s="28" t="s">
        <v>443</v>
      </c>
      <c r="J47" s="28">
        <v>4</v>
      </c>
      <c r="K47" s="28">
        <v>8</v>
      </c>
      <c r="L47" s="41">
        <f t="shared" si="5"/>
        <v>4</v>
      </c>
      <c r="M47" s="41">
        <v>4</v>
      </c>
    </row>
    <row r="48">
      <c r="A48" s="28" t="s">
        <v>342</v>
      </c>
      <c r="B48" s="28">
        <v>8</v>
      </c>
      <c r="C48" s="41">
        <v>8</v>
      </c>
      <c r="H48" s="28" t="s">
        <v>323</v>
      </c>
      <c r="I48" s="28" t="s">
        <v>443</v>
      </c>
      <c r="J48" s="28">
        <v>33</v>
      </c>
      <c r="K48" s="28">
        <v>59</v>
      </c>
      <c r="L48" s="41">
        <f t="shared" si="5"/>
        <v>26</v>
      </c>
      <c r="M48" s="41">
        <v>26</v>
      </c>
    </row>
    <row r="49">
      <c r="A49" s="28" t="s">
        <v>340</v>
      </c>
      <c r="B49" s="28">
        <v>8</v>
      </c>
      <c r="C49" s="41">
        <v>1</v>
      </c>
      <c r="H49" s="28" t="s">
        <v>319</v>
      </c>
      <c r="I49" s="28" t="s">
        <v>443</v>
      </c>
      <c r="J49" s="28">
        <v>1</v>
      </c>
      <c r="K49" s="28">
        <v>4</v>
      </c>
      <c r="L49" s="41">
        <f t="shared" si="5"/>
        <v>3</v>
      </c>
      <c r="M49" s="41">
        <v>3</v>
      </c>
    </row>
    <row r="50">
      <c r="A50" s="28" t="s">
        <v>344</v>
      </c>
      <c r="B50" s="28">
        <v>8</v>
      </c>
      <c r="C50" s="41">
        <v>18</v>
      </c>
      <c r="H50" s="28" t="s">
        <v>347</v>
      </c>
      <c r="I50" s="28" t="s">
        <v>444</v>
      </c>
      <c r="J50" s="28">
        <v>17</v>
      </c>
      <c r="K50" s="28">
        <v>33</v>
      </c>
      <c r="L50" s="41">
        <f t="shared" si="5"/>
        <v>16</v>
      </c>
      <c r="M50" s="41">
        <v>16</v>
      </c>
    </row>
    <row r="51">
      <c r="A51" s="28" t="s">
        <v>313</v>
      </c>
      <c r="B51" s="28">
        <v>8</v>
      </c>
      <c r="C51" s="41">
        <v>2</v>
      </c>
      <c r="H51" s="28" t="s">
        <v>327</v>
      </c>
      <c r="I51" s="28" t="s">
        <v>444</v>
      </c>
      <c r="J51" s="28">
        <v>7</v>
      </c>
      <c r="K51" s="28">
        <v>17</v>
      </c>
      <c r="L51" s="41">
        <f t="shared" si="5"/>
        <v>10</v>
      </c>
      <c r="M51" s="41">
        <v>10</v>
      </c>
    </row>
    <row r="52">
      <c r="A52" s="28" t="s">
        <v>339</v>
      </c>
      <c r="B52" s="28">
        <v>8</v>
      </c>
      <c r="C52" s="41">
        <v>4</v>
      </c>
      <c r="H52" s="28" t="s">
        <v>296</v>
      </c>
      <c r="I52" s="28" t="s">
        <v>444</v>
      </c>
      <c r="J52" s="28">
        <v>0</v>
      </c>
      <c r="K52" s="28">
        <v>1</v>
      </c>
      <c r="L52" s="41">
        <f t="shared" si="5"/>
        <v>1</v>
      </c>
      <c r="M52" s="41">
        <v>1</v>
      </c>
    </row>
    <row r="53">
      <c r="A53" s="28" t="s">
        <v>350</v>
      </c>
      <c r="B53" s="28">
        <v>9</v>
      </c>
      <c r="C53" s="41">
        <v>40</v>
      </c>
      <c r="H53" s="28" t="s">
        <v>326</v>
      </c>
      <c r="I53" s="28" t="s">
        <v>444</v>
      </c>
      <c r="J53" s="28">
        <v>33</v>
      </c>
      <c r="K53" s="28">
        <v>59</v>
      </c>
      <c r="L53" s="41">
        <f t="shared" si="5"/>
        <v>26</v>
      </c>
      <c r="M53" s="41">
        <v>26</v>
      </c>
    </row>
    <row r="54">
      <c r="A54" s="28" t="s">
        <v>348</v>
      </c>
      <c r="B54" s="28">
        <v>9</v>
      </c>
      <c r="C54" s="41">
        <v>7</v>
      </c>
      <c r="H54" s="28" t="s">
        <v>328</v>
      </c>
      <c r="I54" s="28" t="s">
        <v>444</v>
      </c>
      <c r="J54" s="28">
        <v>3</v>
      </c>
      <c r="K54" s="28">
        <v>7</v>
      </c>
      <c r="L54" s="41">
        <f t="shared" si="5"/>
        <v>4</v>
      </c>
      <c r="M54" s="41">
        <v>4</v>
      </c>
    </row>
    <row r="55">
      <c r="A55" s="28" t="s">
        <v>349</v>
      </c>
      <c r="B55" s="28">
        <v>9</v>
      </c>
      <c r="C55" s="41">
        <v>3</v>
      </c>
      <c r="H55" s="28" t="s">
        <v>329</v>
      </c>
      <c r="I55" s="28" t="s">
        <v>444</v>
      </c>
      <c r="J55" s="28">
        <v>1</v>
      </c>
      <c r="K55" s="28">
        <v>3</v>
      </c>
      <c r="L55" s="41">
        <f t="shared" si="5"/>
        <v>2</v>
      </c>
      <c r="M55" s="41">
        <v>2</v>
      </c>
    </row>
    <row r="56">
      <c r="A56" s="28" t="s">
        <v>330</v>
      </c>
      <c r="B56" s="28">
        <v>9</v>
      </c>
      <c r="C56" s="41">
        <v>15</v>
      </c>
      <c r="H56" s="28" t="s">
        <v>341</v>
      </c>
      <c r="I56" s="28" t="s">
        <v>445</v>
      </c>
      <c r="J56" s="28">
        <v>19</v>
      </c>
      <c r="K56" s="28">
        <v>34</v>
      </c>
      <c r="L56" s="41">
        <f t="shared" si="5"/>
        <v>15</v>
      </c>
      <c r="M56" s="41">
        <v>15</v>
      </c>
    </row>
    <row r="57">
      <c r="A57" s="28" t="s">
        <v>345</v>
      </c>
      <c r="B57" s="28">
        <v>9</v>
      </c>
      <c r="C57" s="41">
        <v>1</v>
      </c>
      <c r="H57" s="28" t="s">
        <v>295</v>
      </c>
      <c r="I57" s="28" t="s">
        <v>445</v>
      </c>
      <c r="J57" s="28">
        <v>9</v>
      </c>
      <c r="K57" s="28">
        <v>19</v>
      </c>
      <c r="L57" s="41">
        <f t="shared" si="5"/>
        <v>10</v>
      </c>
      <c r="M57" s="41">
        <v>10</v>
      </c>
    </row>
    <row r="58">
      <c r="A58" s="28" t="s">
        <v>343</v>
      </c>
      <c r="B58" s="28">
        <v>8</v>
      </c>
      <c r="C58" s="41">
        <v>22</v>
      </c>
      <c r="H58" s="28" t="s">
        <v>334</v>
      </c>
      <c r="I58" s="28" t="s">
        <v>445</v>
      </c>
      <c r="J58" s="28">
        <v>4</v>
      </c>
      <c r="K58" s="28">
        <v>9</v>
      </c>
      <c r="L58" s="41">
        <f t="shared" si="5"/>
        <v>5</v>
      </c>
      <c r="M58" s="41">
        <v>5</v>
      </c>
    </row>
    <row r="59">
      <c r="A59" s="28" t="s">
        <v>346</v>
      </c>
      <c r="B59" s="28">
        <v>9</v>
      </c>
      <c r="C59" s="41">
        <v>2</v>
      </c>
      <c r="H59" s="28" t="s">
        <v>335</v>
      </c>
      <c r="I59" s="28" t="s">
        <v>445</v>
      </c>
      <c r="J59" s="28">
        <v>0</v>
      </c>
      <c r="K59" s="28">
        <v>1</v>
      </c>
      <c r="L59" s="41">
        <f t="shared" si="5"/>
        <v>1</v>
      </c>
      <c r="M59" s="41">
        <v>1</v>
      </c>
    </row>
    <row r="60">
      <c r="A60" s="28" t="s">
        <v>331</v>
      </c>
      <c r="B60" s="28">
        <v>6</v>
      </c>
      <c r="C60" s="41">
        <v>3</v>
      </c>
      <c r="H60" s="28" t="s">
        <v>332</v>
      </c>
      <c r="I60" s="28" t="s">
        <v>445</v>
      </c>
      <c r="J60" s="28">
        <v>34</v>
      </c>
      <c r="K60" s="28">
        <v>59</v>
      </c>
      <c r="L60" s="41">
        <f t="shared" si="5"/>
        <v>25</v>
      </c>
      <c r="M60" s="41">
        <v>25</v>
      </c>
    </row>
    <row r="61">
      <c r="A61" s="28" t="s">
        <v>354</v>
      </c>
      <c r="B61" s="28">
        <v>10</v>
      </c>
      <c r="C61" s="41">
        <v>35</v>
      </c>
      <c r="H61" s="28" t="s">
        <v>337</v>
      </c>
      <c r="I61" s="28" t="s">
        <v>445</v>
      </c>
      <c r="J61" s="28">
        <v>1</v>
      </c>
      <c r="K61" s="28">
        <v>4</v>
      </c>
      <c r="L61" s="41">
        <f t="shared" si="5"/>
        <v>3</v>
      </c>
      <c r="M61" s="41">
        <v>3</v>
      </c>
    </row>
    <row r="62">
      <c r="A62" s="28" t="s">
        <v>351</v>
      </c>
      <c r="B62" s="28">
        <v>10</v>
      </c>
      <c r="C62" s="41">
        <v>11</v>
      </c>
      <c r="H62" s="28" t="s">
        <v>294</v>
      </c>
      <c r="I62" s="28" t="s">
        <v>446</v>
      </c>
      <c r="J62" s="28">
        <v>33</v>
      </c>
      <c r="K62" s="28">
        <v>55</v>
      </c>
      <c r="L62" s="41">
        <f t="shared" si="5"/>
        <v>22</v>
      </c>
      <c r="M62" s="41">
        <v>22</v>
      </c>
    </row>
    <row r="63">
      <c r="A63" s="28" t="s">
        <v>338</v>
      </c>
      <c r="B63" s="28">
        <v>10</v>
      </c>
      <c r="C63" s="41">
        <v>21</v>
      </c>
      <c r="H63" s="28" t="s">
        <v>342</v>
      </c>
      <c r="I63" s="28" t="s">
        <v>446</v>
      </c>
      <c r="J63" s="28">
        <v>7</v>
      </c>
      <c r="K63" s="28">
        <v>15</v>
      </c>
      <c r="L63" s="41">
        <f t="shared" si="5"/>
        <v>8</v>
      </c>
      <c r="M63" s="41">
        <v>8</v>
      </c>
    </row>
    <row r="64">
      <c r="A64" s="28" t="s">
        <v>318</v>
      </c>
      <c r="B64" s="28">
        <v>5</v>
      </c>
      <c r="C64" s="41">
        <v>6</v>
      </c>
      <c r="H64" s="28" t="s">
        <v>340</v>
      </c>
      <c r="I64" s="28" t="s">
        <v>446</v>
      </c>
      <c r="J64" s="28">
        <v>0</v>
      </c>
      <c r="K64" s="28">
        <v>1</v>
      </c>
      <c r="L64" s="41">
        <f t="shared" si="5"/>
        <v>1</v>
      </c>
      <c r="M64" s="41">
        <v>1</v>
      </c>
    </row>
    <row r="65">
      <c r="A65" s="28" t="s">
        <v>352</v>
      </c>
      <c r="B65" s="28">
        <v>10</v>
      </c>
      <c r="C65" s="41">
        <v>1</v>
      </c>
      <c r="H65" s="28" t="s">
        <v>344</v>
      </c>
      <c r="I65" s="28" t="s">
        <v>446</v>
      </c>
      <c r="J65" s="28">
        <v>15</v>
      </c>
      <c r="K65" s="28">
        <v>33</v>
      </c>
      <c r="L65" s="41">
        <f t="shared" si="5"/>
        <v>18</v>
      </c>
      <c r="M65" s="41">
        <v>18</v>
      </c>
    </row>
    <row r="66">
      <c r="H66" s="28" t="s">
        <v>313</v>
      </c>
      <c r="I66" s="28" t="s">
        <v>446</v>
      </c>
      <c r="J66" s="28">
        <v>1</v>
      </c>
      <c r="K66" s="28">
        <v>3</v>
      </c>
      <c r="L66" s="41">
        <f t="shared" si="5"/>
        <v>2</v>
      </c>
      <c r="M66" s="41">
        <v>2</v>
      </c>
    </row>
    <row r="67">
      <c r="C67" s="43">
        <f>SUM(C2:C65)</f>
        <v>677</v>
      </c>
      <c r="H67" s="28" t="s">
        <v>339</v>
      </c>
      <c r="I67" s="28" t="s">
        <v>446</v>
      </c>
      <c r="J67" s="28">
        <v>3</v>
      </c>
      <c r="K67" s="28">
        <v>7</v>
      </c>
      <c r="L67" s="41">
        <f t="shared" si="5"/>
        <v>4</v>
      </c>
      <c r="M67" s="41">
        <v>4</v>
      </c>
    </row>
    <row r="68">
      <c r="H68" s="28" t="s">
        <v>350</v>
      </c>
      <c r="I68" s="28" t="s">
        <v>447</v>
      </c>
      <c r="J68" s="28">
        <v>50</v>
      </c>
      <c r="K68" s="28">
        <v>90</v>
      </c>
      <c r="L68" s="41">
        <f t="shared" si="5"/>
        <v>40</v>
      </c>
      <c r="M68" s="41">
        <v>40</v>
      </c>
    </row>
    <row r="69">
      <c r="H69" s="28" t="s">
        <v>348</v>
      </c>
      <c r="I69" s="28" t="s">
        <v>447</v>
      </c>
      <c r="J69" s="28">
        <v>6</v>
      </c>
      <c r="K69" s="28">
        <v>13</v>
      </c>
      <c r="L69" s="41">
        <f t="shared" si="5"/>
        <v>7</v>
      </c>
      <c r="M69" s="41">
        <v>7</v>
      </c>
    </row>
    <row r="70">
      <c r="H70" s="28" t="s">
        <v>349</v>
      </c>
      <c r="I70" s="28" t="s">
        <v>447</v>
      </c>
      <c r="J70" s="28">
        <v>3</v>
      </c>
      <c r="K70" s="28">
        <v>6</v>
      </c>
      <c r="L70" s="41">
        <f t="shared" si="5"/>
        <v>3</v>
      </c>
      <c r="M70" s="41">
        <v>3</v>
      </c>
    </row>
    <row r="71">
      <c r="H71" s="28" t="s">
        <v>330</v>
      </c>
      <c r="I71" s="28" t="s">
        <v>447</v>
      </c>
      <c r="J71" s="28">
        <v>13</v>
      </c>
      <c r="K71" s="28">
        <v>28</v>
      </c>
      <c r="L71" s="41">
        <f t="shared" si="5"/>
        <v>15</v>
      </c>
      <c r="M71" s="41">
        <v>15</v>
      </c>
    </row>
    <row r="72">
      <c r="H72" s="28" t="s">
        <v>345</v>
      </c>
      <c r="I72" s="28" t="s">
        <v>447</v>
      </c>
      <c r="J72" s="28">
        <v>0</v>
      </c>
      <c r="K72" s="28">
        <v>1</v>
      </c>
      <c r="L72" s="41">
        <f t="shared" si="5"/>
        <v>1</v>
      </c>
      <c r="M72" s="41">
        <v>1</v>
      </c>
    </row>
    <row r="73">
      <c r="H73" s="28" t="s">
        <v>343</v>
      </c>
      <c r="I73" s="28" t="s">
        <v>447</v>
      </c>
      <c r="J73" s="28">
        <v>28</v>
      </c>
      <c r="K73" s="28">
        <v>50</v>
      </c>
      <c r="L73" s="41">
        <f t="shared" si="5"/>
        <v>22</v>
      </c>
      <c r="M73" s="41">
        <v>22</v>
      </c>
    </row>
    <row r="74">
      <c r="H74" s="28" t="s">
        <v>346</v>
      </c>
      <c r="I74" s="28" t="s">
        <v>447</v>
      </c>
      <c r="J74" s="28">
        <v>1</v>
      </c>
      <c r="K74" s="28">
        <v>3</v>
      </c>
      <c r="L74" s="41">
        <f t="shared" si="5"/>
        <v>2</v>
      </c>
      <c r="M74" s="41">
        <v>2</v>
      </c>
    </row>
    <row r="75">
      <c r="H75" s="28" t="s">
        <v>331</v>
      </c>
      <c r="I75" s="28" t="s">
        <v>448</v>
      </c>
      <c r="J75" s="28">
        <v>1</v>
      </c>
      <c r="K75" s="28">
        <v>4</v>
      </c>
      <c r="L75" s="41">
        <f t="shared" si="5"/>
        <v>3</v>
      </c>
      <c r="M75" s="41">
        <v>3</v>
      </c>
    </row>
    <row r="76">
      <c r="H76" s="28" t="s">
        <v>354</v>
      </c>
      <c r="I76" s="28" t="s">
        <v>448</v>
      </c>
      <c r="J76" s="28">
        <v>42</v>
      </c>
      <c r="K76" s="28">
        <v>77</v>
      </c>
      <c r="L76" s="41">
        <f t="shared" si="5"/>
        <v>35</v>
      </c>
      <c r="M76" s="41">
        <v>35</v>
      </c>
    </row>
    <row r="77">
      <c r="H77" s="28" t="s">
        <v>351</v>
      </c>
      <c r="I77" s="28" t="s">
        <v>448</v>
      </c>
      <c r="J77" s="28">
        <v>10</v>
      </c>
      <c r="K77" s="28">
        <v>21</v>
      </c>
      <c r="L77" s="41">
        <f t="shared" si="5"/>
        <v>11</v>
      </c>
      <c r="M77" s="41">
        <v>11</v>
      </c>
    </row>
    <row r="78">
      <c r="H78" s="28" t="s">
        <v>338</v>
      </c>
      <c r="I78" s="28" t="s">
        <v>448</v>
      </c>
      <c r="J78" s="28">
        <v>21</v>
      </c>
      <c r="K78" s="28">
        <v>42</v>
      </c>
      <c r="L78" s="41">
        <f t="shared" si="5"/>
        <v>21</v>
      </c>
      <c r="M78" s="41">
        <v>21</v>
      </c>
    </row>
    <row r="79">
      <c r="H79" s="28" t="s">
        <v>318</v>
      </c>
      <c r="I79" s="28" t="s">
        <v>448</v>
      </c>
      <c r="J79" s="28">
        <v>4</v>
      </c>
      <c r="K79" s="28">
        <v>10</v>
      </c>
      <c r="L79" s="41">
        <f t="shared" si="5"/>
        <v>6</v>
      </c>
      <c r="M79" s="41">
        <v>6</v>
      </c>
    </row>
    <row r="80">
      <c r="H80" s="28" t="s">
        <v>352</v>
      </c>
      <c r="I80" s="28" t="s">
        <v>448</v>
      </c>
      <c r="J80" s="28">
        <v>0</v>
      </c>
      <c r="K80" s="28">
        <v>1</v>
      </c>
      <c r="L80" s="41">
        <f t="shared" si="5"/>
        <v>1</v>
      </c>
      <c r="M80" s="41">
        <v>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sheetData>
    <row r="2">
      <c r="B2" s="28" t="s">
        <v>449</v>
      </c>
      <c r="C2" s="28" t="s">
        <v>450</v>
      </c>
    </row>
    <row r="3">
      <c r="B3" s="28">
        <v>0</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ySplit="1" topLeftCell="A2" activePane="bottomLeft" state="frozen"/>
      <selection activeCell="B3" activeCellId="0" sqref="B3"/>
    </sheetView>
  </sheetViews>
  <sheetFormatPr defaultColWidth="12.630000000000001" defaultRowHeight="15.75" customHeight="1"/>
  <cols>
    <col customWidth="1" min="1" max="1" width="15.25"/>
    <col customWidth="1" min="2" max="2" width="17"/>
    <col customWidth="1" min="3" max="3" width="6"/>
    <col customWidth="1" min="4" max="4" width="5.75"/>
    <col customWidth="1" min="5" max="5" width="55.25"/>
    <col customWidth="1" min="6" max="7" width="18.5"/>
  </cols>
  <sheetData>
    <row r="1">
      <c r="A1" s="17" t="s">
        <v>180</v>
      </c>
      <c r="B1" s="17" t="s">
        <v>1</v>
      </c>
      <c r="C1" s="17" t="s">
        <v>149</v>
      </c>
      <c r="D1" s="17" t="s">
        <v>287</v>
      </c>
      <c r="E1" s="17" t="s">
        <v>2</v>
      </c>
      <c r="F1" s="17" t="s">
        <v>451</v>
      </c>
      <c r="G1" s="17" t="s">
        <v>451</v>
      </c>
      <c r="H1" s="17" t="s">
        <v>273</v>
      </c>
      <c r="I1" s="17" t="s">
        <v>398</v>
      </c>
      <c r="J1" s="17" t="s">
        <v>452</v>
      </c>
      <c r="K1" s="17" t="s">
        <v>453</v>
      </c>
    </row>
    <row r="2">
      <c r="A2" s="96" t="s">
        <v>4</v>
      </c>
      <c r="B2" s="97" t="s">
        <v>5</v>
      </c>
      <c r="C2" s="98">
        <v>1</v>
      </c>
      <c r="D2" s="98" t="s">
        <v>454</v>
      </c>
      <c r="E2" s="97" t="s">
        <v>6</v>
      </c>
      <c r="F2" s="97">
        <v>6</v>
      </c>
      <c r="G2" s="97">
        <v>6</v>
      </c>
      <c r="H2" s="99"/>
      <c r="I2" s="5" t="b">
        <v>1</v>
      </c>
      <c r="J2" s="5" t="b">
        <v>1</v>
      </c>
      <c r="K2" s="100" t="b">
        <v>0</v>
      </c>
    </row>
    <row r="3">
      <c r="A3" s="101"/>
      <c r="B3" s="102" t="s">
        <v>7</v>
      </c>
      <c r="C3" s="103"/>
      <c r="D3" s="103"/>
      <c r="E3" s="102" t="s">
        <v>8</v>
      </c>
      <c r="F3" s="102">
        <v>10</v>
      </c>
      <c r="G3" s="102">
        <v>10</v>
      </c>
      <c r="H3" s="104"/>
      <c r="I3" s="8" t="b">
        <v>1</v>
      </c>
      <c r="J3" s="8" t="b">
        <v>1</v>
      </c>
      <c r="K3" s="105" t="b">
        <v>0</v>
      </c>
    </row>
    <row r="4">
      <c r="A4" s="101"/>
      <c r="B4" s="102" t="s">
        <v>9</v>
      </c>
      <c r="C4" s="106"/>
      <c r="D4" s="106"/>
      <c r="E4" s="102" t="s">
        <v>10</v>
      </c>
      <c r="F4" s="102">
        <v>10</v>
      </c>
      <c r="G4" s="102">
        <v>10</v>
      </c>
      <c r="H4" s="104"/>
      <c r="I4" s="8" t="b">
        <v>1</v>
      </c>
      <c r="J4" s="107" t="b">
        <v>0</v>
      </c>
      <c r="K4" s="105" t="b">
        <v>0</v>
      </c>
    </row>
    <row r="5">
      <c r="A5" s="101"/>
      <c r="B5" s="8" t="s">
        <v>455</v>
      </c>
      <c r="C5" s="108"/>
      <c r="D5" s="108"/>
      <c r="E5" s="8" t="s">
        <v>456</v>
      </c>
      <c r="F5" s="8"/>
      <c r="G5" s="8">
        <v>10</v>
      </c>
      <c r="H5" s="8"/>
      <c r="I5" s="107" t="b">
        <v>0</v>
      </c>
      <c r="J5" s="107" t="b">
        <v>0</v>
      </c>
      <c r="K5" s="105" t="b">
        <v>0</v>
      </c>
    </row>
    <row r="6">
      <c r="A6" s="109"/>
      <c r="B6" s="12" t="s">
        <v>457</v>
      </c>
      <c r="C6" s="110"/>
      <c r="D6" s="110"/>
      <c r="E6" s="12" t="s">
        <v>458</v>
      </c>
      <c r="F6" s="12"/>
      <c r="G6" s="12">
        <v>10</v>
      </c>
      <c r="H6" s="12"/>
      <c r="I6" s="12" t="b">
        <v>0</v>
      </c>
      <c r="J6" s="12" t="b">
        <v>1</v>
      </c>
      <c r="K6" s="111" t="b">
        <v>0</v>
      </c>
    </row>
    <row r="7">
      <c r="A7" s="96" t="s">
        <v>11</v>
      </c>
      <c r="B7" s="5" t="s">
        <v>459</v>
      </c>
      <c r="C7" s="112"/>
      <c r="D7" s="112"/>
      <c r="E7" s="5" t="s">
        <v>460</v>
      </c>
      <c r="F7" s="5"/>
      <c r="G7" s="5">
        <v>25</v>
      </c>
      <c r="H7" s="113"/>
      <c r="I7" s="5" t="b">
        <v>0</v>
      </c>
      <c r="J7" s="5" t="b">
        <v>1</v>
      </c>
      <c r="K7" s="100" t="b">
        <v>0</v>
      </c>
    </row>
    <row r="8">
      <c r="A8" s="101"/>
      <c r="B8" s="8" t="s">
        <v>461</v>
      </c>
      <c r="C8" s="108"/>
      <c r="D8" s="108"/>
      <c r="E8" s="8" t="s">
        <v>462</v>
      </c>
      <c r="F8" s="8"/>
      <c r="G8" s="8">
        <v>25</v>
      </c>
      <c r="H8" s="107"/>
      <c r="I8" s="8" t="b">
        <v>0</v>
      </c>
      <c r="J8" s="8" t="b">
        <v>1</v>
      </c>
      <c r="K8" s="105" t="b">
        <v>0</v>
      </c>
    </row>
    <row r="9">
      <c r="A9" s="101"/>
      <c r="B9" s="102" t="s">
        <v>12</v>
      </c>
      <c r="C9" s="114">
        <v>2</v>
      </c>
      <c r="D9" s="115"/>
      <c r="E9" s="102" t="s">
        <v>13</v>
      </c>
      <c r="F9" s="102">
        <v>25</v>
      </c>
      <c r="G9" s="102">
        <v>25</v>
      </c>
      <c r="H9" s="104"/>
      <c r="I9" s="8" t="b">
        <v>1</v>
      </c>
      <c r="J9" s="8" t="b">
        <v>1</v>
      </c>
      <c r="K9" s="7" t="b">
        <v>1</v>
      </c>
    </row>
    <row r="10">
      <c r="A10" s="109"/>
      <c r="B10" s="12" t="s">
        <v>463</v>
      </c>
      <c r="C10" s="110"/>
      <c r="D10" s="110"/>
      <c r="E10" s="12" t="s">
        <v>464</v>
      </c>
      <c r="F10" s="12"/>
      <c r="G10" s="12">
        <v>10</v>
      </c>
      <c r="H10" s="12" t="s">
        <v>465</v>
      </c>
      <c r="I10" s="12" t="b">
        <v>0</v>
      </c>
      <c r="J10" s="12" t="b">
        <v>1</v>
      </c>
      <c r="K10" s="10" t="b">
        <v>1</v>
      </c>
    </row>
    <row r="11">
      <c r="A11" s="96" t="s">
        <v>14</v>
      </c>
      <c r="B11" s="97" t="s">
        <v>15</v>
      </c>
      <c r="C11" s="98">
        <v>3</v>
      </c>
      <c r="D11" s="98" t="s">
        <v>466</v>
      </c>
      <c r="E11" s="97" t="s">
        <v>16</v>
      </c>
      <c r="F11" s="97">
        <v>0</v>
      </c>
      <c r="G11" s="97">
        <v>8</v>
      </c>
      <c r="H11" s="99"/>
      <c r="I11" s="5" t="b">
        <v>1</v>
      </c>
      <c r="J11" s="5" t="b">
        <v>1</v>
      </c>
      <c r="K11" s="100" t="b">
        <v>0</v>
      </c>
    </row>
    <row r="12">
      <c r="A12" s="101"/>
      <c r="B12" s="102" t="s">
        <v>17</v>
      </c>
      <c r="C12" s="103"/>
      <c r="D12" s="103"/>
      <c r="E12" s="102" t="s">
        <v>18</v>
      </c>
      <c r="F12" s="102">
        <v>0</v>
      </c>
      <c r="G12" s="102">
        <v>8</v>
      </c>
      <c r="H12" s="104"/>
      <c r="I12" s="8" t="b">
        <v>1</v>
      </c>
      <c r="J12" s="8" t="b">
        <v>1</v>
      </c>
      <c r="K12" s="105" t="b">
        <v>0</v>
      </c>
    </row>
    <row r="13">
      <c r="A13" s="101"/>
      <c r="B13" s="102" t="s">
        <v>19</v>
      </c>
      <c r="C13" s="106"/>
      <c r="D13" s="103"/>
      <c r="E13" s="102" t="s">
        <v>20</v>
      </c>
      <c r="F13" s="102">
        <v>26</v>
      </c>
      <c r="G13" s="102">
        <v>15</v>
      </c>
      <c r="H13" s="104"/>
      <c r="I13" s="8" t="b">
        <v>1</v>
      </c>
      <c r="J13" s="8" t="b">
        <v>1</v>
      </c>
      <c r="K13" s="105" t="b">
        <v>0</v>
      </c>
    </row>
    <row r="14">
      <c r="A14" s="101"/>
      <c r="B14" s="102" t="s">
        <v>21</v>
      </c>
      <c r="C14" s="98">
        <v>4</v>
      </c>
      <c r="D14" s="103"/>
      <c r="E14" s="102" t="s">
        <v>22</v>
      </c>
      <c r="F14" s="102">
        <v>0</v>
      </c>
      <c r="G14" s="102">
        <v>8</v>
      </c>
      <c r="H14" s="104"/>
      <c r="I14" s="8" t="b">
        <v>1</v>
      </c>
      <c r="J14" s="8" t="b">
        <v>1</v>
      </c>
      <c r="K14" s="105" t="b">
        <v>0</v>
      </c>
    </row>
    <row r="15">
      <c r="A15" s="101"/>
      <c r="B15" s="102" t="s">
        <v>23</v>
      </c>
      <c r="C15" s="103"/>
      <c r="D15" s="103"/>
      <c r="E15" s="102" t="s">
        <v>24</v>
      </c>
      <c r="F15" s="102">
        <v>0</v>
      </c>
      <c r="G15" s="102">
        <v>10</v>
      </c>
      <c r="H15" s="104"/>
      <c r="I15" s="8" t="b">
        <v>1</v>
      </c>
      <c r="J15" s="8" t="b">
        <v>1</v>
      </c>
      <c r="K15" s="105" t="b">
        <v>0</v>
      </c>
    </row>
    <row r="16">
      <c r="A16" s="101"/>
      <c r="B16" s="102" t="s">
        <v>25</v>
      </c>
      <c r="C16" s="106"/>
      <c r="D16" s="106"/>
      <c r="E16" s="102" t="s">
        <v>20</v>
      </c>
      <c r="F16" s="102">
        <v>26</v>
      </c>
      <c r="G16" s="102">
        <v>15</v>
      </c>
      <c r="H16" s="104"/>
      <c r="I16" s="8" t="b">
        <v>1</v>
      </c>
      <c r="J16" s="8" t="b">
        <v>1</v>
      </c>
      <c r="K16" s="105" t="b">
        <v>0</v>
      </c>
    </row>
    <row r="17">
      <c r="A17" s="101"/>
      <c r="B17" s="102" t="s">
        <v>26</v>
      </c>
      <c r="C17" s="98">
        <v>5</v>
      </c>
      <c r="D17" s="115"/>
      <c r="E17" s="102" t="s">
        <v>27</v>
      </c>
      <c r="F17" s="102">
        <v>0</v>
      </c>
      <c r="G17" s="102"/>
      <c r="H17" s="104"/>
      <c r="I17" s="8" t="b">
        <v>1</v>
      </c>
      <c r="J17" s="8" t="b">
        <v>1</v>
      </c>
      <c r="K17" s="105" t="b">
        <v>0</v>
      </c>
    </row>
    <row r="18">
      <c r="A18" s="101"/>
      <c r="B18" s="102" t="s">
        <v>28</v>
      </c>
      <c r="C18" s="106"/>
      <c r="D18" s="115"/>
      <c r="E18" s="102" t="s">
        <v>29</v>
      </c>
      <c r="F18" s="102">
        <v>22</v>
      </c>
      <c r="G18" s="102"/>
      <c r="H18" s="104"/>
      <c r="I18" s="8" t="b">
        <v>1</v>
      </c>
      <c r="J18" s="8" t="b">
        <v>1</v>
      </c>
      <c r="K18" s="105" t="b">
        <v>0</v>
      </c>
    </row>
    <row r="19">
      <c r="A19" s="109"/>
      <c r="B19" s="116" t="s">
        <v>30</v>
      </c>
      <c r="C19" s="114">
        <v>6</v>
      </c>
      <c r="D19" s="117"/>
      <c r="E19" s="116" t="s">
        <v>31</v>
      </c>
      <c r="F19" s="116">
        <v>11</v>
      </c>
      <c r="G19" s="116">
        <v>11</v>
      </c>
      <c r="H19" s="118"/>
      <c r="I19" s="12" t="b">
        <v>1</v>
      </c>
      <c r="J19" s="12" t="b">
        <v>1</v>
      </c>
      <c r="K19" s="111" t="b">
        <v>0</v>
      </c>
    </row>
    <row r="20">
      <c r="A20" s="96" t="s">
        <v>32</v>
      </c>
      <c r="B20" s="97" t="s">
        <v>467</v>
      </c>
      <c r="C20" s="98">
        <v>7</v>
      </c>
      <c r="D20" s="119"/>
      <c r="E20" s="97" t="s">
        <v>34</v>
      </c>
      <c r="F20" s="97">
        <v>5</v>
      </c>
      <c r="G20" s="97">
        <v>5</v>
      </c>
      <c r="H20" s="120" t="s">
        <v>468</v>
      </c>
      <c r="I20" s="5" t="b">
        <v>1</v>
      </c>
      <c r="J20" s="113" t="b">
        <v>0</v>
      </c>
      <c r="K20" s="100" t="b">
        <v>0</v>
      </c>
    </row>
    <row r="21">
      <c r="A21" s="101"/>
      <c r="B21" s="102" t="s">
        <v>35</v>
      </c>
      <c r="C21" s="106"/>
      <c r="D21" s="115"/>
      <c r="E21" s="102" t="s">
        <v>36</v>
      </c>
      <c r="F21" s="102">
        <v>5</v>
      </c>
      <c r="G21" s="102">
        <v>5</v>
      </c>
      <c r="H21" s="120" t="s">
        <v>468</v>
      </c>
      <c r="I21" s="8" t="b">
        <v>1</v>
      </c>
      <c r="J21" s="107" t="b">
        <v>0</v>
      </c>
      <c r="K21" s="105" t="b">
        <v>0</v>
      </c>
    </row>
    <row r="22">
      <c r="A22" s="101"/>
      <c r="B22" s="8" t="s">
        <v>469</v>
      </c>
      <c r="C22" s="108"/>
      <c r="D22" s="108"/>
      <c r="E22" s="8" t="s">
        <v>470</v>
      </c>
      <c r="F22" s="8"/>
      <c r="G22" s="8">
        <v>5</v>
      </c>
      <c r="H22" s="120" t="s">
        <v>468</v>
      </c>
      <c r="I22" s="107" t="b">
        <v>0</v>
      </c>
      <c r="J22" s="107" t="b">
        <v>0</v>
      </c>
      <c r="K22" s="105" t="b">
        <v>0</v>
      </c>
    </row>
    <row r="23">
      <c r="A23" s="109"/>
      <c r="B23" s="12" t="s">
        <v>471</v>
      </c>
      <c r="C23" s="121"/>
      <c r="D23" s="110"/>
      <c r="E23" s="12" t="s">
        <v>472</v>
      </c>
      <c r="F23" s="12"/>
      <c r="G23" s="12">
        <v>5</v>
      </c>
      <c r="H23" s="120" t="s">
        <v>468</v>
      </c>
      <c r="I23" s="122" t="b">
        <v>0</v>
      </c>
      <c r="J23" s="122" t="b">
        <v>0</v>
      </c>
      <c r="K23" s="111" t="b">
        <v>0</v>
      </c>
    </row>
    <row r="24">
      <c r="A24" s="96" t="s">
        <v>37</v>
      </c>
      <c r="B24" s="97" t="s">
        <v>38</v>
      </c>
      <c r="C24" s="98">
        <v>8</v>
      </c>
      <c r="D24" s="119"/>
      <c r="E24" s="97" t="s">
        <v>39</v>
      </c>
      <c r="F24" s="97">
        <v>11</v>
      </c>
      <c r="G24" s="97">
        <v>11</v>
      </c>
      <c r="H24" s="120" t="s">
        <v>468</v>
      </c>
      <c r="I24" s="5" t="b">
        <v>1</v>
      </c>
      <c r="J24" s="5" t="b">
        <v>0</v>
      </c>
      <c r="K24" s="100" t="b">
        <v>0</v>
      </c>
    </row>
    <row r="25">
      <c r="A25" s="101"/>
      <c r="B25" s="102" t="s">
        <v>40</v>
      </c>
      <c r="C25" s="103"/>
      <c r="D25" s="115"/>
      <c r="E25" s="102" t="s">
        <v>41</v>
      </c>
      <c r="F25" s="102">
        <v>4</v>
      </c>
      <c r="G25" s="102">
        <v>4</v>
      </c>
      <c r="H25" s="120" t="s">
        <v>468</v>
      </c>
      <c r="I25" s="8" t="b">
        <v>1</v>
      </c>
      <c r="J25" s="107" t="b">
        <v>0</v>
      </c>
      <c r="K25" s="105" t="b">
        <v>0</v>
      </c>
    </row>
    <row r="26">
      <c r="A26" s="109"/>
      <c r="B26" s="116" t="s">
        <v>42</v>
      </c>
      <c r="C26" s="103"/>
      <c r="D26" s="117"/>
      <c r="E26" s="116" t="s">
        <v>43</v>
      </c>
      <c r="F26" s="116">
        <v>6</v>
      </c>
      <c r="G26" s="116">
        <v>6</v>
      </c>
      <c r="H26" s="120" t="s">
        <v>468</v>
      </c>
      <c r="I26" s="12" t="b">
        <v>1</v>
      </c>
      <c r="J26" s="122" t="b">
        <v>0</v>
      </c>
      <c r="K26" s="111" t="b">
        <v>0</v>
      </c>
    </row>
    <row r="27">
      <c r="A27" s="96" t="s">
        <v>44</v>
      </c>
      <c r="B27" s="97" t="s">
        <v>45</v>
      </c>
      <c r="C27" s="98">
        <v>9</v>
      </c>
      <c r="D27" s="119"/>
      <c r="E27" s="97" t="s">
        <v>46</v>
      </c>
      <c r="F27" s="97">
        <v>11</v>
      </c>
      <c r="G27" s="97">
        <v>11</v>
      </c>
      <c r="H27" s="97" t="s">
        <v>473</v>
      </c>
      <c r="I27" s="5" t="b">
        <v>1</v>
      </c>
      <c r="J27" s="5" t="b">
        <v>1</v>
      </c>
      <c r="K27" s="100" t="b">
        <v>0</v>
      </c>
    </row>
    <row r="28">
      <c r="A28" s="101"/>
      <c r="B28" s="102" t="s">
        <v>47</v>
      </c>
      <c r="C28" s="98">
        <v>10</v>
      </c>
      <c r="D28" s="115"/>
      <c r="E28" s="102" t="s">
        <v>48</v>
      </c>
      <c r="F28" s="102">
        <v>11</v>
      </c>
      <c r="G28" s="102">
        <v>11</v>
      </c>
      <c r="H28" s="104"/>
      <c r="I28" s="8" t="b">
        <v>1</v>
      </c>
      <c r="J28" s="8" t="b">
        <v>1</v>
      </c>
      <c r="K28" s="105" t="b">
        <v>0</v>
      </c>
    </row>
    <row r="29">
      <c r="A29" s="101"/>
      <c r="B29" s="8" t="s">
        <v>474</v>
      </c>
      <c r="C29" s="103"/>
      <c r="D29" s="108"/>
      <c r="E29" s="8" t="s">
        <v>475</v>
      </c>
      <c r="F29" s="8"/>
      <c r="G29" s="8">
        <v>7</v>
      </c>
      <c r="H29" s="107"/>
      <c r="I29" s="107" t="b">
        <v>0</v>
      </c>
      <c r="J29" s="107" t="b">
        <v>0</v>
      </c>
      <c r="K29" s="105" t="b">
        <v>0</v>
      </c>
    </row>
    <row r="30">
      <c r="A30" s="101"/>
      <c r="B30" s="8" t="s">
        <v>476</v>
      </c>
      <c r="C30" s="103"/>
      <c r="D30" s="108"/>
      <c r="E30" s="8" t="s">
        <v>477</v>
      </c>
      <c r="F30" s="8"/>
      <c r="G30" s="8">
        <v>7</v>
      </c>
      <c r="H30" s="107"/>
      <c r="I30" s="107" t="b">
        <v>0</v>
      </c>
      <c r="J30" s="107" t="b">
        <v>0</v>
      </c>
      <c r="K30" s="105" t="b">
        <v>0</v>
      </c>
    </row>
    <row r="31">
      <c r="A31" s="109"/>
      <c r="B31" s="116" t="s">
        <v>49</v>
      </c>
      <c r="C31" s="106"/>
      <c r="D31" s="117"/>
      <c r="E31" s="116" t="s">
        <v>50</v>
      </c>
      <c r="F31" s="116">
        <v>7</v>
      </c>
      <c r="G31" s="116">
        <v>7</v>
      </c>
      <c r="H31" s="116" t="s">
        <v>478</v>
      </c>
      <c r="I31" s="12" t="b">
        <v>1</v>
      </c>
      <c r="J31" s="122" t="b">
        <v>0</v>
      </c>
      <c r="K31" s="111" t="b">
        <v>0</v>
      </c>
    </row>
    <row r="32">
      <c r="A32" s="96" t="s">
        <v>51</v>
      </c>
      <c r="B32" s="97" t="s">
        <v>52</v>
      </c>
      <c r="C32" s="123">
        <v>11</v>
      </c>
      <c r="D32" s="119"/>
      <c r="E32" s="97" t="s">
        <v>53</v>
      </c>
      <c r="F32" s="97">
        <v>8</v>
      </c>
      <c r="G32" s="97">
        <v>8</v>
      </c>
      <c r="H32" s="99"/>
      <c r="I32" s="5" t="b">
        <v>1</v>
      </c>
      <c r="J32" s="5" t="b">
        <v>1</v>
      </c>
      <c r="K32" s="100" t="b">
        <v>0</v>
      </c>
    </row>
    <row r="33">
      <c r="A33" s="101"/>
      <c r="B33" s="102" t="s">
        <v>54</v>
      </c>
      <c r="C33" s="103"/>
      <c r="D33" s="115"/>
      <c r="E33" s="102" t="s">
        <v>55</v>
      </c>
      <c r="F33" s="102">
        <v>8</v>
      </c>
      <c r="G33" s="102">
        <v>8</v>
      </c>
      <c r="H33" s="104"/>
      <c r="I33" s="8" t="b">
        <v>1</v>
      </c>
      <c r="J33" s="8" t="b">
        <v>1</v>
      </c>
      <c r="K33" s="105" t="b">
        <v>0</v>
      </c>
    </row>
    <row r="34">
      <c r="A34" s="101"/>
      <c r="B34" s="102" t="s">
        <v>56</v>
      </c>
      <c r="C34" s="103"/>
      <c r="D34" s="115"/>
      <c r="E34" s="102" t="s">
        <v>57</v>
      </c>
      <c r="F34" s="102">
        <v>8</v>
      </c>
      <c r="G34" s="102">
        <v>8</v>
      </c>
      <c r="H34" s="104"/>
      <c r="I34" s="8" t="b">
        <v>1</v>
      </c>
      <c r="J34" s="8" t="b">
        <v>1</v>
      </c>
      <c r="K34" s="105" t="b">
        <v>0</v>
      </c>
    </row>
    <row r="35">
      <c r="A35" s="101"/>
      <c r="B35" s="8" t="s">
        <v>479</v>
      </c>
      <c r="C35" s="103"/>
      <c r="D35" s="108"/>
      <c r="E35" s="8" t="s">
        <v>480</v>
      </c>
      <c r="F35" s="8"/>
      <c r="G35" s="8">
        <v>8</v>
      </c>
      <c r="H35" s="107"/>
      <c r="I35" s="107" t="b">
        <v>0</v>
      </c>
      <c r="J35" s="107" t="b">
        <v>0</v>
      </c>
      <c r="K35" s="105" t="b">
        <v>0</v>
      </c>
    </row>
    <row r="36">
      <c r="A36" s="101"/>
      <c r="B36" s="102" t="s">
        <v>58</v>
      </c>
      <c r="C36" s="106"/>
      <c r="D36" s="115"/>
      <c r="E36" s="102" t="s">
        <v>59</v>
      </c>
      <c r="F36" s="102">
        <v>8</v>
      </c>
      <c r="G36" s="102">
        <v>8</v>
      </c>
      <c r="H36" s="116" t="s">
        <v>478</v>
      </c>
      <c r="I36" s="8" t="b">
        <v>1</v>
      </c>
      <c r="J36" s="107" t="b">
        <v>0</v>
      </c>
      <c r="K36" s="105" t="b">
        <v>0</v>
      </c>
    </row>
    <row r="37">
      <c r="A37" s="109"/>
      <c r="B37" s="12" t="s">
        <v>481</v>
      </c>
      <c r="C37" s="110"/>
      <c r="D37" s="110"/>
      <c r="E37" s="12" t="s">
        <v>482</v>
      </c>
      <c r="F37" s="12"/>
      <c r="G37" s="12">
        <v>8</v>
      </c>
      <c r="H37" s="122"/>
      <c r="I37" s="122" t="b">
        <v>0</v>
      </c>
      <c r="J37" s="122" t="b">
        <v>0</v>
      </c>
      <c r="K37" s="111" t="b">
        <v>0</v>
      </c>
    </row>
    <row r="38">
      <c r="A38" s="124" t="s">
        <v>60</v>
      </c>
      <c r="B38" s="125" t="s">
        <v>61</v>
      </c>
      <c r="C38" s="114">
        <v>12</v>
      </c>
      <c r="D38" s="126"/>
      <c r="E38" s="125" t="s">
        <v>62</v>
      </c>
      <c r="F38" s="125">
        <v>15</v>
      </c>
      <c r="G38" s="125">
        <v>15</v>
      </c>
      <c r="H38" s="127"/>
      <c r="I38" s="16" t="b">
        <v>1</v>
      </c>
      <c r="J38" s="16" t="b">
        <v>1</v>
      </c>
      <c r="K38" s="128" t="b">
        <v>0</v>
      </c>
    </row>
    <row r="39">
      <c r="A39" s="124" t="s">
        <v>63</v>
      </c>
      <c r="B39" s="125" t="s">
        <v>64</v>
      </c>
      <c r="C39" s="114">
        <v>13</v>
      </c>
      <c r="D39" s="126"/>
      <c r="E39" s="125" t="s">
        <v>65</v>
      </c>
      <c r="F39" s="125">
        <v>8</v>
      </c>
      <c r="G39" s="125">
        <v>8</v>
      </c>
      <c r="H39" s="120" t="s">
        <v>468</v>
      </c>
      <c r="I39" s="16" t="b">
        <v>1</v>
      </c>
      <c r="J39" s="129" t="b">
        <v>0</v>
      </c>
      <c r="K39" s="128" t="b">
        <v>0</v>
      </c>
    </row>
    <row r="40">
      <c r="A40" s="96" t="s">
        <v>66</v>
      </c>
      <c r="B40" s="97" t="s">
        <v>67</v>
      </c>
      <c r="C40" s="98">
        <v>14</v>
      </c>
      <c r="D40" s="119"/>
      <c r="E40" s="97" t="s">
        <v>68</v>
      </c>
      <c r="F40" s="97">
        <v>8</v>
      </c>
      <c r="G40" s="97">
        <v>8</v>
      </c>
      <c r="H40" s="120" t="s">
        <v>468</v>
      </c>
      <c r="I40" s="5" t="b">
        <v>1</v>
      </c>
      <c r="J40" s="113" t="b">
        <v>0</v>
      </c>
      <c r="K40" s="100" t="b">
        <v>0</v>
      </c>
    </row>
    <row r="41">
      <c r="A41" s="109"/>
      <c r="B41" s="116" t="s">
        <v>69</v>
      </c>
      <c r="C41" s="106"/>
      <c r="D41" s="117"/>
      <c r="E41" s="116" t="s">
        <v>70</v>
      </c>
      <c r="F41" s="116">
        <v>9</v>
      </c>
      <c r="G41" s="116">
        <v>9</v>
      </c>
      <c r="H41" s="120" t="s">
        <v>468</v>
      </c>
      <c r="I41" s="12" t="b">
        <v>1</v>
      </c>
      <c r="J41" s="122" t="b">
        <v>0</v>
      </c>
      <c r="K41" s="111" t="b">
        <v>0</v>
      </c>
    </row>
    <row r="42">
      <c r="A42" s="96" t="s">
        <v>71</v>
      </c>
      <c r="B42" s="97" t="s">
        <v>72</v>
      </c>
      <c r="C42" s="114">
        <v>15</v>
      </c>
      <c r="D42" s="119"/>
      <c r="E42" s="97" t="s">
        <v>73</v>
      </c>
      <c r="F42" s="97">
        <v>20</v>
      </c>
      <c r="G42" s="97">
        <v>20</v>
      </c>
      <c r="H42" s="113"/>
      <c r="I42" s="5" t="b">
        <v>1</v>
      </c>
      <c r="J42" s="113" t="b">
        <v>0</v>
      </c>
      <c r="K42" s="100" t="b">
        <v>0</v>
      </c>
    </row>
    <row r="43">
      <c r="A43" s="101"/>
      <c r="B43" s="102" t="s">
        <v>74</v>
      </c>
      <c r="C43" s="98">
        <v>16</v>
      </c>
      <c r="D43" s="115"/>
      <c r="E43" s="102" t="s">
        <v>75</v>
      </c>
      <c r="F43" s="102">
        <v>25</v>
      </c>
      <c r="G43" s="102">
        <v>25</v>
      </c>
      <c r="H43" s="107"/>
      <c r="I43" s="8" t="b">
        <v>1</v>
      </c>
      <c r="J43" s="8" t="b">
        <v>1</v>
      </c>
      <c r="K43" s="105" t="b">
        <v>0</v>
      </c>
    </row>
    <row r="44">
      <c r="A44" s="109"/>
      <c r="B44" s="116" t="s">
        <v>76</v>
      </c>
      <c r="C44" s="106"/>
      <c r="D44" s="117"/>
      <c r="E44" s="116" t="s">
        <v>77</v>
      </c>
      <c r="F44" s="116">
        <v>25</v>
      </c>
      <c r="G44" s="116">
        <v>25</v>
      </c>
      <c r="H44" s="122"/>
      <c r="I44" s="12" t="b">
        <v>1</v>
      </c>
      <c r="J44" s="12" t="b">
        <v>1</v>
      </c>
      <c r="K44" s="111" t="b">
        <v>0</v>
      </c>
    </row>
    <row r="45">
      <c r="A45" s="124" t="s">
        <v>78</v>
      </c>
      <c r="B45" s="125" t="s">
        <v>79</v>
      </c>
      <c r="C45" s="114">
        <v>17</v>
      </c>
      <c r="D45" s="126"/>
      <c r="E45" s="125" t="s">
        <v>80</v>
      </c>
      <c r="F45" s="125">
        <v>8</v>
      </c>
      <c r="G45" s="125">
        <v>8</v>
      </c>
      <c r="H45" s="120" t="s">
        <v>468</v>
      </c>
      <c r="I45" s="16" t="b">
        <v>1</v>
      </c>
      <c r="J45" s="129" t="b">
        <v>0</v>
      </c>
      <c r="K45" s="128" t="b">
        <v>0</v>
      </c>
    </row>
    <row r="46">
      <c r="A46" s="96" t="s">
        <v>81</v>
      </c>
      <c r="B46" s="97" t="s">
        <v>82</v>
      </c>
      <c r="C46" s="98">
        <v>18</v>
      </c>
      <c r="D46" s="119"/>
      <c r="E46" s="97" t="s">
        <v>83</v>
      </c>
      <c r="F46" s="97">
        <v>5</v>
      </c>
      <c r="G46" s="97">
        <v>5</v>
      </c>
      <c r="H46" s="99"/>
      <c r="I46" s="5" t="b">
        <v>1</v>
      </c>
      <c r="J46" s="5" t="b">
        <v>1</v>
      </c>
      <c r="K46" s="100" t="b">
        <v>0</v>
      </c>
    </row>
    <row r="47">
      <c r="A47" s="101"/>
      <c r="B47" s="102" t="s">
        <v>84</v>
      </c>
      <c r="C47" s="103"/>
      <c r="D47" s="115"/>
      <c r="E47" s="102" t="s">
        <v>85</v>
      </c>
      <c r="F47" s="102">
        <v>5</v>
      </c>
      <c r="G47" s="102">
        <v>5</v>
      </c>
      <c r="H47" s="104"/>
      <c r="I47" s="8" t="b">
        <v>1</v>
      </c>
      <c r="J47" s="8" t="b">
        <v>1</v>
      </c>
      <c r="K47" s="105" t="b">
        <v>0</v>
      </c>
    </row>
    <row r="48">
      <c r="A48" s="101"/>
      <c r="B48" s="102" t="s">
        <v>86</v>
      </c>
      <c r="C48" s="103"/>
      <c r="D48" s="115"/>
      <c r="E48" s="102" t="s">
        <v>87</v>
      </c>
      <c r="F48" s="102">
        <v>5</v>
      </c>
      <c r="G48" s="102">
        <v>5</v>
      </c>
      <c r="H48" s="104"/>
      <c r="I48" s="8" t="b">
        <v>1</v>
      </c>
      <c r="J48" s="8" t="b">
        <v>1</v>
      </c>
      <c r="K48" s="105" t="b">
        <v>0</v>
      </c>
    </row>
    <row r="49">
      <c r="A49" s="101"/>
      <c r="B49" s="102" t="s">
        <v>88</v>
      </c>
      <c r="C49" s="103"/>
      <c r="D49" s="115"/>
      <c r="E49" s="102" t="s">
        <v>89</v>
      </c>
      <c r="F49" s="102">
        <v>5</v>
      </c>
      <c r="G49" s="102">
        <v>5</v>
      </c>
      <c r="H49" s="104"/>
      <c r="I49" s="8" t="b">
        <v>1</v>
      </c>
      <c r="J49" s="8" t="b">
        <v>1</v>
      </c>
      <c r="K49" s="105" t="b">
        <v>0</v>
      </c>
    </row>
    <row r="50">
      <c r="A50" s="101"/>
      <c r="B50" s="102" t="s">
        <v>90</v>
      </c>
      <c r="C50" s="106"/>
      <c r="D50" s="115"/>
      <c r="E50" s="102" t="s">
        <v>91</v>
      </c>
      <c r="F50" s="102">
        <v>5</v>
      </c>
      <c r="G50" s="102">
        <v>5</v>
      </c>
      <c r="H50" s="104"/>
      <c r="I50" s="8" t="b">
        <v>1</v>
      </c>
      <c r="J50" s="8" t="b">
        <v>1</v>
      </c>
      <c r="K50" s="105" t="b">
        <v>0</v>
      </c>
    </row>
    <row r="51">
      <c r="A51" s="101"/>
      <c r="B51" s="102" t="s">
        <v>92</v>
      </c>
      <c r="C51" s="98">
        <v>19</v>
      </c>
      <c r="D51" s="115"/>
      <c r="E51" s="102" t="s">
        <v>93</v>
      </c>
      <c r="F51" s="102">
        <v>11</v>
      </c>
      <c r="G51" s="102">
        <v>11</v>
      </c>
      <c r="H51" s="104"/>
      <c r="I51" s="8" t="b">
        <v>1</v>
      </c>
      <c r="J51" s="8" t="b">
        <v>1</v>
      </c>
      <c r="K51" s="105" t="b">
        <v>0</v>
      </c>
    </row>
    <row r="52">
      <c r="A52" s="109"/>
      <c r="B52" s="116" t="s">
        <v>94</v>
      </c>
      <c r="C52" s="106"/>
      <c r="D52" s="117"/>
      <c r="E52" s="116" t="s">
        <v>95</v>
      </c>
      <c r="F52" s="116">
        <v>11</v>
      </c>
      <c r="G52" s="116">
        <v>11</v>
      </c>
      <c r="H52" s="118"/>
      <c r="I52" s="12" t="b">
        <v>1</v>
      </c>
      <c r="J52" s="12" t="b">
        <v>1</v>
      </c>
      <c r="K52" s="111" t="b">
        <v>0</v>
      </c>
    </row>
    <row r="53">
      <c r="A53" s="96" t="s">
        <v>96</v>
      </c>
      <c r="B53" s="97" t="s">
        <v>97</v>
      </c>
      <c r="C53" s="114">
        <v>20</v>
      </c>
      <c r="D53" s="119"/>
      <c r="E53" s="97" t="s">
        <v>98</v>
      </c>
      <c r="F53" s="97">
        <v>7</v>
      </c>
      <c r="G53" s="97">
        <v>7</v>
      </c>
      <c r="H53" s="97" t="s">
        <v>483</v>
      </c>
      <c r="I53" s="5" t="b">
        <v>1</v>
      </c>
      <c r="J53" s="5" t="b">
        <v>1</v>
      </c>
      <c r="K53" s="100" t="b">
        <v>0</v>
      </c>
    </row>
    <row r="54">
      <c r="A54" s="109"/>
      <c r="B54" s="8" t="s">
        <v>484</v>
      </c>
      <c r="C54" s="108"/>
      <c r="D54" s="108"/>
      <c r="E54" s="8" t="s">
        <v>485</v>
      </c>
      <c r="F54" s="8"/>
      <c r="G54" s="8">
        <v>7</v>
      </c>
      <c r="H54" s="8"/>
      <c r="I54" s="107" t="b">
        <v>0</v>
      </c>
      <c r="J54" s="122" t="b">
        <v>0</v>
      </c>
      <c r="K54" s="111" t="b">
        <v>0</v>
      </c>
    </row>
    <row r="55">
      <c r="A55" s="96" t="s">
        <v>99</v>
      </c>
      <c r="B55" s="97" t="s">
        <v>100</v>
      </c>
      <c r="C55" s="98">
        <v>21</v>
      </c>
      <c r="D55" s="119"/>
      <c r="E55" s="97" t="s">
        <v>101</v>
      </c>
      <c r="F55" s="97">
        <v>7</v>
      </c>
      <c r="G55" s="97">
        <v>7</v>
      </c>
      <c r="H55" s="99"/>
      <c r="I55" s="5" t="b">
        <v>1</v>
      </c>
      <c r="J55" s="5" t="b">
        <v>1</v>
      </c>
      <c r="K55" s="100" t="b">
        <v>0</v>
      </c>
    </row>
    <row r="56">
      <c r="A56" s="101"/>
      <c r="B56" s="102" t="s">
        <v>102</v>
      </c>
      <c r="C56" s="103"/>
      <c r="D56" s="115"/>
      <c r="E56" s="102" t="s">
        <v>103</v>
      </c>
      <c r="F56" s="102">
        <v>7</v>
      </c>
      <c r="G56" s="102">
        <v>7</v>
      </c>
      <c r="H56" s="104"/>
      <c r="I56" s="8" t="b">
        <v>1</v>
      </c>
      <c r="J56" s="107" t="b">
        <v>0</v>
      </c>
      <c r="K56" s="105" t="b">
        <v>0</v>
      </c>
    </row>
    <row r="57">
      <c r="A57" s="101"/>
      <c r="B57" s="102" t="s">
        <v>104</v>
      </c>
      <c r="C57" s="103"/>
      <c r="D57" s="115"/>
      <c r="E57" s="102" t="s">
        <v>105</v>
      </c>
      <c r="F57" s="102">
        <v>7</v>
      </c>
      <c r="G57" s="102">
        <v>7</v>
      </c>
      <c r="H57" s="104"/>
      <c r="I57" s="8" t="b">
        <v>1</v>
      </c>
      <c r="J57" s="107" t="b">
        <v>0</v>
      </c>
      <c r="K57" s="105" t="b">
        <v>0</v>
      </c>
    </row>
    <row r="58">
      <c r="A58" s="101"/>
      <c r="B58" s="102" t="s">
        <v>106</v>
      </c>
      <c r="C58" s="103"/>
      <c r="D58" s="115"/>
      <c r="E58" s="102" t="s">
        <v>107</v>
      </c>
      <c r="F58" s="102">
        <v>7</v>
      </c>
      <c r="G58" s="102">
        <v>7</v>
      </c>
      <c r="H58" s="104"/>
      <c r="I58" s="8" t="b">
        <v>1</v>
      </c>
      <c r="J58" s="107" t="b">
        <v>0</v>
      </c>
      <c r="K58" s="105" t="b">
        <v>0</v>
      </c>
    </row>
    <row r="59">
      <c r="A59" s="109"/>
      <c r="B59" s="116" t="s">
        <v>108</v>
      </c>
      <c r="C59" s="106"/>
      <c r="D59" s="117"/>
      <c r="E59" s="116" t="s">
        <v>109</v>
      </c>
      <c r="F59" s="116">
        <v>7</v>
      </c>
      <c r="G59" s="116">
        <v>7</v>
      </c>
      <c r="H59" s="118"/>
      <c r="I59" s="8" t="b">
        <v>1</v>
      </c>
      <c r="J59" s="12" t="b">
        <v>1</v>
      </c>
      <c r="K59" s="111" t="b">
        <v>0</v>
      </c>
    </row>
    <row r="60">
      <c r="A60" s="124" t="s">
        <v>110</v>
      </c>
      <c r="B60" s="125" t="s">
        <v>111</v>
      </c>
      <c r="C60" s="114">
        <v>22</v>
      </c>
      <c r="D60" s="126"/>
      <c r="E60" s="125" t="s">
        <v>112</v>
      </c>
      <c r="F60" s="125">
        <v>8</v>
      </c>
      <c r="G60" s="125">
        <v>8</v>
      </c>
      <c r="H60" s="125" t="s">
        <v>486</v>
      </c>
      <c r="I60" s="16" t="b">
        <v>1</v>
      </c>
      <c r="J60" s="129" t="b">
        <v>0</v>
      </c>
      <c r="K60" s="128" t="b">
        <v>0</v>
      </c>
    </row>
    <row r="61">
      <c r="A61" s="96" t="s">
        <v>113</v>
      </c>
      <c r="B61" s="97" t="s">
        <v>114</v>
      </c>
      <c r="C61" s="98">
        <v>23</v>
      </c>
      <c r="D61" s="119"/>
      <c r="E61" s="97" t="s">
        <v>115</v>
      </c>
      <c r="F61" s="97">
        <v>5</v>
      </c>
      <c r="G61" s="97">
        <v>5</v>
      </c>
      <c r="H61" s="99"/>
      <c r="I61" s="5" t="b">
        <v>1</v>
      </c>
      <c r="J61" s="113" t="b">
        <v>0</v>
      </c>
      <c r="K61" s="100" t="b">
        <v>0</v>
      </c>
    </row>
    <row r="62">
      <c r="A62" s="109"/>
      <c r="B62" s="116" t="s">
        <v>116</v>
      </c>
      <c r="C62" s="106"/>
      <c r="D62" s="117"/>
      <c r="E62" s="116" t="s">
        <v>117</v>
      </c>
      <c r="F62" s="116">
        <v>5</v>
      </c>
      <c r="G62" s="116">
        <v>5</v>
      </c>
      <c r="H62" s="118"/>
      <c r="I62" s="12" t="b">
        <v>1</v>
      </c>
      <c r="J62" s="12" t="b">
        <v>0</v>
      </c>
      <c r="K62" s="111" t="b">
        <v>0</v>
      </c>
    </row>
    <row r="63">
      <c r="A63" s="130" t="s">
        <v>118</v>
      </c>
      <c r="B63" s="131" t="s">
        <v>119</v>
      </c>
      <c r="C63" s="98">
        <v>24</v>
      </c>
      <c r="D63" s="132"/>
      <c r="E63" s="131" t="s">
        <v>120</v>
      </c>
      <c r="F63" s="131">
        <v>8</v>
      </c>
      <c r="G63" s="131">
        <v>8</v>
      </c>
      <c r="H63" s="131" t="s">
        <v>487</v>
      </c>
      <c r="I63" s="5" t="b">
        <v>1</v>
      </c>
      <c r="J63" s="5" t="b">
        <v>1</v>
      </c>
      <c r="K63" s="100" t="b">
        <v>0</v>
      </c>
    </row>
    <row r="64">
      <c r="A64" s="101"/>
      <c r="B64" s="133" t="s">
        <v>121</v>
      </c>
      <c r="C64" s="106"/>
      <c r="D64" s="134"/>
      <c r="E64" s="133" t="s">
        <v>122</v>
      </c>
      <c r="F64" s="133">
        <v>8</v>
      </c>
      <c r="G64" s="133">
        <v>8</v>
      </c>
      <c r="H64" s="131" t="s">
        <v>487</v>
      </c>
      <c r="I64" s="8" t="b">
        <v>1</v>
      </c>
      <c r="J64" s="8" t="b">
        <v>1</v>
      </c>
      <c r="K64" s="105" t="b">
        <v>0</v>
      </c>
    </row>
    <row r="65">
      <c r="A65" s="101"/>
      <c r="B65" s="133" t="s">
        <v>123</v>
      </c>
      <c r="C65" s="114">
        <v>25</v>
      </c>
      <c r="D65" s="134"/>
      <c r="E65" s="133" t="s">
        <v>124</v>
      </c>
      <c r="F65" s="133">
        <v>10</v>
      </c>
      <c r="G65" s="133">
        <v>10</v>
      </c>
      <c r="H65" s="131" t="s">
        <v>487</v>
      </c>
      <c r="I65" s="8" t="b">
        <v>1</v>
      </c>
      <c r="J65" s="8" t="b">
        <v>1</v>
      </c>
      <c r="K65" s="105" t="b">
        <v>0</v>
      </c>
    </row>
    <row r="66">
      <c r="A66" s="109"/>
      <c r="B66" s="135" t="s">
        <v>125</v>
      </c>
      <c r="C66" s="114">
        <v>26</v>
      </c>
      <c r="D66" s="136"/>
      <c r="E66" s="135" t="s">
        <v>126</v>
      </c>
      <c r="F66" s="135">
        <v>15</v>
      </c>
      <c r="G66" s="135">
        <v>15</v>
      </c>
      <c r="H66" s="135" t="s">
        <v>488</v>
      </c>
      <c r="I66" s="12" t="b">
        <v>1</v>
      </c>
      <c r="J66" s="12" t="b">
        <v>1</v>
      </c>
      <c r="K66" s="111" t="b">
        <v>0</v>
      </c>
    </row>
    <row r="67">
      <c r="A67" s="124" t="s">
        <v>127</v>
      </c>
      <c r="B67" s="125" t="s">
        <v>128</v>
      </c>
      <c r="C67" s="114">
        <v>27</v>
      </c>
      <c r="D67" s="126"/>
      <c r="E67" s="125" t="s">
        <v>129</v>
      </c>
      <c r="F67" s="125">
        <v>10</v>
      </c>
      <c r="G67" s="125">
        <v>10</v>
      </c>
      <c r="H67" s="127"/>
      <c r="I67" s="16" t="b">
        <v>1</v>
      </c>
      <c r="J67" s="16" t="b">
        <v>0</v>
      </c>
      <c r="K67" s="128" t="b">
        <v>0</v>
      </c>
    </row>
    <row r="68">
      <c r="A68" s="96" t="s">
        <v>130</v>
      </c>
      <c r="B68" s="97" t="s">
        <v>131</v>
      </c>
      <c r="C68" s="98">
        <v>28</v>
      </c>
      <c r="D68" s="119"/>
      <c r="E68" s="97" t="s">
        <v>132</v>
      </c>
      <c r="F68" s="97">
        <v>8</v>
      </c>
      <c r="G68" s="97">
        <v>8</v>
      </c>
      <c r="H68" s="99"/>
      <c r="I68" s="5" t="b">
        <v>1</v>
      </c>
      <c r="J68" s="5" t="b">
        <v>1</v>
      </c>
      <c r="K68" s="100" t="b">
        <v>0</v>
      </c>
    </row>
    <row r="69">
      <c r="A69" s="101"/>
      <c r="B69" s="102" t="s">
        <v>133</v>
      </c>
      <c r="C69" s="103"/>
      <c r="D69" s="115"/>
      <c r="E69" s="102" t="s">
        <v>134</v>
      </c>
      <c r="F69" s="102">
        <v>8</v>
      </c>
      <c r="G69" s="102">
        <v>8</v>
      </c>
      <c r="H69" s="104"/>
      <c r="I69" s="8" t="b">
        <v>1</v>
      </c>
      <c r="J69" s="8" t="b">
        <v>1</v>
      </c>
      <c r="K69" s="105" t="b">
        <v>0</v>
      </c>
    </row>
    <row r="70">
      <c r="A70" s="101"/>
      <c r="B70" s="102" t="s">
        <v>135</v>
      </c>
      <c r="C70" s="103"/>
      <c r="D70" s="115"/>
      <c r="E70" s="102" t="s">
        <v>136</v>
      </c>
      <c r="F70" s="102">
        <v>8</v>
      </c>
      <c r="G70" s="102">
        <v>8</v>
      </c>
      <c r="H70" s="104"/>
      <c r="I70" s="8" t="b">
        <v>1</v>
      </c>
      <c r="J70" s="8" t="b">
        <v>1</v>
      </c>
      <c r="K70" s="105" t="b">
        <v>0</v>
      </c>
    </row>
    <row r="71">
      <c r="A71" s="101"/>
      <c r="B71" s="102" t="s">
        <v>137</v>
      </c>
      <c r="C71" s="103"/>
      <c r="D71" s="115"/>
      <c r="E71" s="102" t="s">
        <v>138</v>
      </c>
      <c r="F71" s="102">
        <v>8</v>
      </c>
      <c r="G71" s="102">
        <v>8</v>
      </c>
      <c r="H71" s="104"/>
      <c r="I71" s="8" t="b">
        <v>1</v>
      </c>
      <c r="J71" s="8" t="b">
        <v>1</v>
      </c>
      <c r="K71" s="105" t="b">
        <v>0</v>
      </c>
    </row>
    <row r="72">
      <c r="A72" s="109"/>
      <c r="B72" s="116" t="s">
        <v>139</v>
      </c>
      <c r="C72" s="106"/>
      <c r="D72" s="117"/>
      <c r="E72" s="116" t="s">
        <v>140</v>
      </c>
      <c r="F72" s="116">
        <v>8</v>
      </c>
      <c r="G72" s="116">
        <v>8</v>
      </c>
      <c r="H72" s="118"/>
      <c r="I72" s="12" t="b">
        <v>1</v>
      </c>
      <c r="J72" s="12" t="b">
        <v>1</v>
      </c>
      <c r="K72" s="111" t="b">
        <v>0</v>
      </c>
    </row>
    <row r="73">
      <c r="A73" s="96" t="s">
        <v>141</v>
      </c>
      <c r="B73" s="97" t="s">
        <v>142</v>
      </c>
      <c r="C73" s="114">
        <v>29</v>
      </c>
      <c r="D73" s="119"/>
      <c r="E73" s="97" t="s">
        <v>143</v>
      </c>
      <c r="F73" s="97">
        <v>15</v>
      </c>
      <c r="G73" s="97">
        <v>9</v>
      </c>
      <c r="H73" s="104"/>
      <c r="I73" s="5" t="b">
        <v>1</v>
      </c>
      <c r="J73" s="5" t="b">
        <v>1</v>
      </c>
      <c r="K73" s="100" t="b">
        <v>0</v>
      </c>
    </row>
    <row r="74">
      <c r="A74" s="101"/>
      <c r="B74" s="102" t="s">
        <v>144</v>
      </c>
      <c r="C74" s="114">
        <v>30</v>
      </c>
      <c r="D74" s="115"/>
      <c r="E74" s="102" t="s">
        <v>145</v>
      </c>
      <c r="F74" s="102">
        <v>15</v>
      </c>
      <c r="G74" s="102">
        <v>9</v>
      </c>
      <c r="H74" s="104"/>
      <c r="I74" s="8" t="b">
        <v>1</v>
      </c>
      <c r="J74" s="8" t="b">
        <v>1</v>
      </c>
      <c r="K74" s="105" t="b">
        <v>0</v>
      </c>
    </row>
    <row r="75">
      <c r="A75" s="109"/>
      <c r="B75" s="116" t="s">
        <v>146</v>
      </c>
      <c r="C75" s="114">
        <v>31</v>
      </c>
      <c r="D75" s="117"/>
      <c r="E75" s="116" t="s">
        <v>147</v>
      </c>
      <c r="F75" s="116">
        <v>15</v>
      </c>
      <c r="G75" s="116">
        <v>9</v>
      </c>
      <c r="H75" s="118"/>
      <c r="I75" s="8" t="b">
        <v>1</v>
      </c>
      <c r="J75" s="12" t="b">
        <v>1</v>
      </c>
      <c r="K75" s="111" t="b">
        <v>0</v>
      </c>
    </row>
    <row r="76">
      <c r="A76" s="137"/>
      <c r="B76" s="102"/>
      <c r="C76" s="115"/>
      <c r="D76" s="115"/>
      <c r="E76" s="102"/>
      <c r="F76" s="102">
        <f t="shared" ref="F76:G76" si="6">sum(F19:F75)/60</f>
        <v>7.733333333</v>
      </c>
      <c r="G76" s="102">
        <f t="shared" si="6"/>
        <v>8.2166666670000001</v>
      </c>
      <c r="H76" s="104"/>
      <c r="I76" s="8" t="b">
        <v>0</v>
      </c>
      <c r="J76" s="8" t="b">
        <v>0</v>
      </c>
      <c r="K76" s="107" t="b">
        <v>0</v>
      </c>
    </row>
  </sheetData>
  <mergeCells count="35">
    <mergeCell ref="C14:C16"/>
    <mergeCell ref="C17:C18"/>
    <mergeCell ref="A2:A6"/>
    <mergeCell ref="C2:C4"/>
    <mergeCell ref="D2:D4"/>
    <mergeCell ref="A7:A10"/>
    <mergeCell ref="A11:A19"/>
    <mergeCell ref="C11:C13"/>
    <mergeCell ref="D11:D16"/>
    <mergeCell ref="C28:C31"/>
    <mergeCell ref="C32:C36"/>
    <mergeCell ref="A20:A23"/>
    <mergeCell ref="C20:C21"/>
    <mergeCell ref="C22:C23"/>
    <mergeCell ref="A24:A26"/>
    <mergeCell ref="C24:C26"/>
    <mergeCell ref="A27:A31"/>
    <mergeCell ref="A32:A37"/>
    <mergeCell ref="A40:A41"/>
    <mergeCell ref="C40:C41"/>
    <mergeCell ref="A42:A44"/>
    <mergeCell ref="C43:C44"/>
    <mergeCell ref="A46:A52"/>
    <mergeCell ref="C46:C50"/>
    <mergeCell ref="C51:C52"/>
    <mergeCell ref="C63:C64"/>
    <mergeCell ref="C68:C72"/>
    <mergeCell ref="A53:A54"/>
    <mergeCell ref="A55:A59"/>
    <mergeCell ref="C55:C59"/>
    <mergeCell ref="A61:A62"/>
    <mergeCell ref="C61:C62"/>
    <mergeCell ref="A63:A66"/>
    <mergeCell ref="A68:A72"/>
    <mergeCell ref="A73:A75"/>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ontainsBlanks" priority="1" id="{0095002A-00B9-4F76-9E31-009800B30078}">
            <xm:f>LEN(TRIM(I2))=0</xm:f>
            <x14:dxf>
              <font/>
              <fill>
                <patternFill patternType="solid">
                  <fgColor rgb="FFD9D9D9"/>
                  <bgColor rgb="FFD9D9D9"/>
                </patternFill>
              </fill>
              <border>
                <left/>
                <right/>
                <top/>
                <bottom/>
                <diagonal/>
              </border>
            </x14:dxf>
          </x14:cfRule>
          <xm:sqref>I2:K76</xm:sqref>
        </x14:conditionalFormatting>
        <x14:conditionalFormatting xmlns:xm="http://schemas.microsoft.com/office/excel/2006/main">
          <x14:cfRule type="cellIs" priority="2" operator="equal" id="{00A10024-005D-4F28-B305-00A400FE0008}">
            <xm:f>"TRUE"</xm:f>
            <x14:dxf>
              <font/>
              <fill>
                <patternFill patternType="solid">
                  <fgColor rgb="FFB7E1CD"/>
                  <bgColor rgb="FFB7E1CD"/>
                </patternFill>
              </fill>
              <border>
                <left/>
                <right/>
                <top/>
                <bottom/>
                <diagonal/>
              </border>
            </x14:dxf>
          </x14:cfRule>
          <xm:sqref>I2:K76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ONLYOFFICE/9.0.4.50</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